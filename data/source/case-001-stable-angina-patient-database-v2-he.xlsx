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5eee86e4a4f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קרא_אותי" sheetId="1" r:id="R8654d913af504301"/>
    <x:sheet xmlns:r="http://schemas.openxmlformats.org/officeDocument/2006/relationships" name="מטא_מקרה" sheetId="2" r:id="R8d0aaa80292a49c6"/>
    <x:sheet xmlns:r="http://schemas.openxmlformats.org/officeDocument/2006/relationships" name="אנמנזה" sheetId="3" r:id="R13137d3a43be42d9"/>
    <x:sheet xmlns:r="http://schemas.openxmlformats.org/officeDocument/2006/relationships" name="בדיקה_גופנית" sheetId="4" r:id="R569b2ae5f6ce46c7"/>
    <x:sheet xmlns:r="http://schemas.openxmlformats.org/officeDocument/2006/relationships" name="בדיקות_מיידיות" sheetId="5" r:id="R83282d84e8a64858"/>
    <x:sheet xmlns:r="http://schemas.openxmlformats.org/officeDocument/2006/relationships" name="בדיקות_המשך" sheetId="6" r:id="R2198560bcda24bd2"/>
    <x:sheet xmlns:r="http://schemas.openxmlformats.org/officeDocument/2006/relationships" name="החלטות_וטיפול" sheetId="7" r:id="R67ac3e5e991a4af2"/>
    <x:sheet xmlns:r="http://schemas.openxmlformats.org/officeDocument/2006/relationships" name="כללי_משוב" sheetId="8" r:id="R4ab2702ddcad4e3d"/>
    <x:sheet xmlns:r="http://schemas.openxmlformats.org/officeDocument/2006/relationships" name="הפניה_לתבנית" sheetId="9" r:id="Rb6729875bb5648e0"/>
    <x:sheet xmlns:r="http://schemas.openxmlformats.org/officeDocument/2006/relationships" name="בקרת_איכות" sheetId="10" r:id="R3b60e0c313274789"/>
    <x:sheet xmlns:r="http://schemas.openxmlformats.org/officeDocument/2006/relationships" name="תוצאות_מספריות" sheetId="11" r:id="R2f88d7950efa409a"/>
    <x:sheet xmlns:r="http://schemas.openxmlformats.org/officeDocument/2006/relationships" name="מדדים_מספריים" sheetId="12" r:id="R8f85b06bb9cc4de7"/>
    <x:sheet xmlns:r="http://schemas.openxmlformats.org/officeDocument/2006/relationships" name="מילון_מזהים" sheetId="13" r:id="Ra29c6c5372e046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0">
    <x:font>
      <x:sz val="11"/>
      <x:name val="Carlito"/>
    </x:font>
    <x:font>
      <x:b/>
      <x:sz val="16"/>
      <x:color rgb="FFFFFFFF"/>
      <x:name val="Carlito"/>
    </x:font>
    <x:font>
      <x:sz val="10"/>
      <x:color rgb="FF182026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sz val="10"/>
      <x:color rgb="FF17324D"/>
      <x:name val="Carlito"/>
    </x:font>
    <x:font>
      <x:sz val="11"/>
      <x:color rgb="FF17324D"/>
      <x:name val="Carlito"/>
    </x:font>
    <x:font>
      <x:b/>
      <x:sz val="11"/>
      <x:color rgb="FF17324D"/>
      <x:name val="Carlito"/>
    </x:font>
    <x:font>
      <x:b/>
      <x:sz val="11"/>
      <x:color rgb="FF146C43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DF3F8"/>
      </x:patternFill>
    </x:fill>
    <x:fill>
      <x:patternFill patternType="solid">
        <x:fgColor rgb="FF167A7B"/>
      </x:patternFill>
    </x:fill>
    <x:fill>
      <x:patternFill patternType="solid">
        <x:fgColor rgb="FF17324D"/>
      </x:patternFill>
    </x:fill>
    <x:fill>
      <x:patternFill patternType="solid">
        <x:fgColor rgb="FFF3F6F8"/>
      </x:patternFill>
    </x:fill>
    <x:fill>
      <x:patternFill patternType="solid">
        <x:fgColor rgb="FF0F766E"/>
      </x:patternFill>
    </x:fill>
    <x:fill>
      <x:patternFill patternType="solid">
        <x:fgColor rgb="FFEEF7FA"/>
      </x:patternFill>
    </x:fill>
    <x:fill>
      <x:patternFill patternType="solid">
        <x:fgColor rgb="FF17324D"/>
      </x:patternFill>
    </x:fill>
    <x:fill>
      <x:patternFill patternType="solid">
        <x:fgColor rgb="FFE8F4F3"/>
      </x:patternFill>
    </x:fill>
    <x:fill>
      <x:patternFill patternType="solid">
        <x:fgColor rgb="FF0B7A75"/>
      </x:patternFill>
    </x:fill>
    <x:fill>
      <x:patternFill patternType="solid">
        <x:fgColor rgb="FFE8F4F3"/>
      </x:patternFill>
    </x:fill>
    <x:fill>
      <x:patternFill patternType="solid">
        <x:fgColor rgb="FFE2F3E8"/>
      </x:patternFill>
    </x:fill>
    <x:fill>
      <x:patternFill patternType="solid">
        <x:fgColor rgb="FF0B7A75"/>
      </x:patternFill>
    </x:fill>
    <x:fill>
      <x:patternFill patternType="solid">
        <x:fgColor rgb="FFE8F4F3"/>
      </x:patternFill>
    </x:fill>
    <x:fill>
      <x:patternFill patternType="solid">
        <x:fgColor rgb="FFE2F3E8"/>
      </x:patternFill>
    </x:fill>
  </x:fills>
  <x:borders count="25">
    <x:border/>
    <x:border>
      <x:left style="thin">
        <x:color rgb="FFCBD5DC"/>
      </x:left>
      <x:right style="thin">
        <x:color rgb="FFCBD5DC"/>
      </x:right>
      <x:top style="thin">
        <x:color rgb="FFCBD5DC"/>
      </x:top>
      <x:bottom style="thin">
        <x:color rgb="FFCBD5DC"/>
      </x:bottom>
    </x:border>
    <x:border>
      <x:left style="thin">
        <x:color rgb="FFCBD5DC"/>
      </x:left>
      <x:top style="thin">
        <x:color rgb="FFCBD5DC"/>
      </x:top>
      <x:bottom style="thin">
        <x:color rgb="FFCBD5DC"/>
      </x:bottom>
    </x:border>
    <x:border>
      <x:right style="thin">
        <x:color rgb="FFCBD5DC"/>
      </x:right>
      <x:top style="thin">
        <x:color rgb="FFCBD5DC"/>
      </x:top>
      <x:bottom style="thin">
        <x:color rgb="FFCBD5DC"/>
      </x:bottom>
    </x:border>
    <x:border>
      <x:right style="thin">
        <x:color rgb="FFCBD5DC"/>
      </x:right>
      <x:bottom style="thin">
        <x:color rgb="FFCBD5DC"/>
      </x:bottom>
    </x:border>
    <x:border>
      <x:left style="thin">
        <x:color rgb="FFCBD5DC"/>
      </x:left>
      <x:bottom style="thin">
        <x:color rgb="FFCBD5DC"/>
      </x:bottom>
    </x:border>
    <x:border>
      <x:right style="thin">
        <x:color rgb="FFCBD5DC"/>
      </x:right>
      <x:top style="thin">
        <x:color rgb="FFCBD5DC"/>
      </x:top>
    </x:border>
    <x:border>
      <x:left style="thin">
        <x:color rgb="FFCBD5DC"/>
      </x:left>
      <x:top style="thin">
        <x:color rgb="FFCBD5DC"/>
      </x:top>
    </x:border>
    <x:border>
      <x:top style="thin">
        <x:color rgb="FFCBD5DC"/>
      </x:top>
      <x:bottom style="thin">
        <x:color rgb="FFCBD5DC"/>
      </x:bottom>
    </x:border>
    <x:border>
      <x:left style="thin">
        <x:color rgb="FFCBD5DC"/>
      </x:left>
      <x:right style="thin">
        <x:color rgb="FFCBD5DC"/>
      </x:right>
      <x:bottom style="thin">
        <x:color rgb="FFCBD5DC"/>
      </x:bottom>
    </x:border>
    <x:border>
      <x:left style="thin">
        <x:color rgb="FFCBD5DC"/>
      </x:left>
      <x:right style="thin">
        <x:color rgb="FFCBD5DC"/>
      </x:right>
      <x:top style="thin">
        <x:color rgb="FFCBD5DC"/>
      </x:top>
    </x:border>
    <x:border>
      <x:left style="thin">
        <x:color rgb="FFB8CDD6"/>
      </x:left>
      <x:right style="thin">
        <x:color rgb="FFB8CDD6"/>
      </x:right>
      <x:top style="thin">
        <x:color rgb="FFB8CDD6"/>
      </x:top>
      <x:bottom style="thin">
        <x:color rgb="FFB8CDD6"/>
      </x:bottom>
    </x:border>
    <x:border>
      <x:right style="thin">
        <x:color rgb="FFD8E4E9"/>
      </x:right>
      <x:bottom style="thin">
        <x:color rgb="FFD8E4E9"/>
      </x:bottom>
    </x:border>
    <x:border>
      <x:left style="thin">
        <x:color rgb="FFD8E4E9"/>
      </x:left>
      <x:right style="thin">
        <x:color rgb="FFD8E4E9"/>
      </x:right>
      <x:bottom style="thin">
        <x:color rgb="FFD8E4E9"/>
      </x:bottom>
    </x:border>
    <x:border>
      <x:left style="thin">
        <x:color rgb="FFD8E4E9"/>
      </x:left>
      <x:bottom style="thin">
        <x:color rgb="FFD8E4E9"/>
      </x:bottom>
    </x:border>
    <x:border>
      <x:right style="thin">
        <x:color rgb="FFD8E4E9"/>
      </x:right>
      <x:top style="thin">
        <x:color rgb="FFD8E4E9"/>
      </x:top>
      <x:bottom style="thin">
        <x:color rgb="FFD8E4E9"/>
      </x:bottom>
    </x:border>
    <x:border>
      <x:left style="thin">
        <x:color rgb="FFD8E4E9"/>
      </x:left>
      <x:right style="thin">
        <x:color rgb="FFD8E4E9"/>
      </x:right>
      <x:top style="thin">
        <x:color rgb="FFD8E4E9"/>
      </x:top>
      <x:bottom style="thin">
        <x:color rgb="FFD8E4E9"/>
      </x:bottom>
    </x:border>
    <x:border>
      <x:left style="thin">
        <x:color rgb="FFD8E4E9"/>
      </x:left>
      <x:top style="thin">
        <x:color rgb="FFD8E4E9"/>
      </x:top>
      <x:bottom style="thin">
        <x:color rgb="FFD8E4E9"/>
      </x:bottom>
    </x:border>
    <x:border>
      <x:right style="thin">
        <x:color rgb="FFD8E4E9"/>
      </x:right>
      <x:top style="thin">
        <x:color rgb="FFD8E4E9"/>
      </x:top>
    </x:border>
    <x:border>
      <x:left style="thin">
        <x:color rgb="FFD8E4E9"/>
      </x:left>
      <x:right style="thin">
        <x:color rgb="FFD8E4E9"/>
      </x:right>
      <x:top style="thin">
        <x:color rgb="FFD8E4E9"/>
      </x:top>
    </x:border>
    <x:border>
      <x:left style="thin">
        <x:color rgb="FFD8E4E9"/>
      </x:left>
      <x:top style="thin">
        <x:color rgb="FFD8E4E9"/>
      </x:top>
    </x:border>
    <x:border>
      <x:bottom style="thin">
        <x:color rgb="FFD8E4E9"/>
      </x:bottom>
    </x:border>
    <x:border>
      <x:top style="thin">
        <x:color rgb="FFD8E4E9"/>
      </x:top>
      <x:bottom style="thin">
        <x:color rgb="FFD8E4E9"/>
      </x:bottom>
    </x:border>
    <x:border>
      <x:top style="thin">
        <x:color rgb="FFD8E4E9"/>
      </x:top>
    </x:border>
    <x:border>
      <x:left style="thin">
        <x:color rgb="FFC8D8DF"/>
      </x:left>
      <x:right style="thin">
        <x:color rgb="FFC8D8DF"/>
      </x:right>
      <x:top style="thin">
        <x:color rgb="FFC8D8DF"/>
      </x:top>
      <x:bottom style="thin">
        <x:color rgb="FFC8D8DF"/>
      </x:bottom>
    </x:border>
  </x:borders>
  <x:cellStyleXfs count="1">
    <x:xf numFmtId="0" fontId="0" fillId="0" borderId="0"/>
  </x:cellStyleXfs>
  <x:cellXfs count="1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righ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right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3" xfId="0" applyNumberFormat="1" applyFont="1" applyFill="1" applyBorder="1"/>
    <x:xf numFmtId="0" fontId="2" fillId="0" borderId="2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horizontal="right" wrapText="1"/>
    </x:xf>
    <x:xf numFmtId="0" fontId="2" fillId="0" borderId="5" xfId="0" applyNumberFormat="1" applyFont="1" applyFill="1" applyBorder="1" applyAlignment="1">
      <x:alignment horizontal="right" wrapText="1"/>
    </x:xf>
    <x:xf numFmtId="0" fontId="2" fillId="0" borderId="3" xfId="0" applyNumberFormat="1" applyFont="1" applyFill="1" applyBorder="1" applyAlignment="1">
      <x:alignment horizontal="right" wrapText="1"/>
    </x:xf>
    <x:xf numFmtId="0" fontId="2" fillId="0" borderId="2" xfId="0" applyNumberFormat="1" applyFont="1" applyFill="1" applyBorder="1" applyAlignment="1">
      <x:alignment horizontal="right" wrapText="1"/>
    </x:xf>
    <x:xf numFmtId="0" fontId="2" fillId="0" borderId="6" xfId="0" applyNumberFormat="1" applyFont="1" applyFill="1" applyBorder="1" applyAlignment="1">
      <x:alignment horizontal="right" wrapText="1"/>
    </x:xf>
    <x:xf numFmtId="0" fontId="2" fillId="0" borderId="7" xfId="0" applyNumberFormat="1" applyFont="1" applyFill="1" applyBorder="1" applyAlignment="1">
      <x:alignment horizontal="right" wrapText="1"/>
    </x:xf>
    <x:xf numFmtId="0" fontId="2" fillId="0" borderId="4" xfId="0" applyNumberFormat="1" applyFont="1" applyFill="1" applyBorder="1" applyAlignment="1">
      <x:alignment horizontal="right" vertical="top" wrapText="1"/>
    </x:xf>
    <x:xf numFmtId="0" fontId="2" fillId="0" borderId="5" xfId="0" applyNumberFormat="1" applyFont="1" applyFill="1" applyBorder="1" applyAlignment="1">
      <x:alignment horizontal="right" vertical="top" wrapText="1"/>
    </x:xf>
    <x:xf numFmtId="0" fontId="2" fillId="0" borderId="3" xfId="0" applyNumberFormat="1" applyFont="1" applyFill="1" applyBorder="1" applyAlignment="1">
      <x:alignment horizontal="right" vertical="top" wrapText="1"/>
    </x:xf>
    <x:xf numFmtId="0" fontId="2" fillId="0" borderId="2" xfId="0" applyNumberFormat="1" applyFont="1" applyFill="1" applyBorder="1" applyAlignment="1">
      <x:alignment horizontal="right" vertical="top" wrapText="1"/>
    </x:xf>
    <x:xf numFmtId="0" fontId="2" fillId="0" borderId="6" xfId="0" applyNumberFormat="1" applyFont="1" applyFill="1" applyBorder="1" applyAlignment="1">
      <x:alignment horizontal="right" vertical="top" wrapText="1"/>
    </x:xf>
    <x:xf numFmtId="0" fontId="2" fillId="0" borderId="7" xfId="0" applyNumberFormat="1" applyFont="1" applyFill="1" applyBorder="1" applyAlignment="1">
      <x:alignment horizontal="right" vertical="top" wrapText="1"/>
    </x:xf>
    <x:xf numFmtId="0" fontId="4" fillId="4" borderId="8" xfId="0" applyNumberFormat="1" applyFont="1" applyFill="1" applyBorder="1"/>
    <x:xf numFmtId="0" fontId="4" fillId="4" borderId="8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horizontal="center"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/>
    <x:xf numFmtId="0" fontId="2" fillId="0" borderId="1" xfId="0" applyNumberFormat="1" applyFont="1" applyFill="1" applyBorder="1"/>
    <x:xf numFmtId="0" fontId="2" fillId="0" borderId="10" xfId="0" applyNumberFormat="1" applyFont="1" applyFill="1" applyBorder="1"/>
    <x:xf numFmtId="0" fontId="2" fillId="0" borderId="9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horizontal="right" wrapText="1"/>
    </x:xf>
    <x:xf numFmtId="0" fontId="2" fillId="0" borderId="1" xfId="0" applyNumberFormat="1" applyFont="1" applyFill="1" applyBorder="1" applyAlignment="1">
      <x:alignment horizontal="right" wrapText="1"/>
    </x:xf>
    <x:xf numFmtId="0" fontId="2" fillId="0" borderId="10" xfId="0" applyNumberFormat="1" applyFont="1" applyFill="1" applyBorder="1" applyAlignment="1">
      <x:alignment horizontal="right" wrapText="1"/>
    </x:xf>
    <x:xf numFmtId="0" fontId="2" fillId="0" borderId="9" xfId="0" applyNumberFormat="1" applyFont="1" applyFill="1" applyBorder="1" applyAlignment="1">
      <x:alignment horizontal="right" vertical="top" wrapText="1"/>
    </x:xf>
    <x:xf numFmtId="0" fontId="2" fillId="0" borderId="1" xfId="0" applyNumberFormat="1" applyFont="1" applyFill="1" applyBorder="1" applyAlignment="1">
      <x:alignment horizontal="right" vertical="top" wrapText="1"/>
    </x:xf>
    <x:xf numFmtId="0" fontId="2" fillId="0" borderId="10" xfId="0" applyNumberFormat="1" applyFont="1" applyFill="1" applyBorder="1" applyAlignment="1">
      <x:alignment horizontal="right"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right" wrapText="1"/>
    </x:xf>
    <x:xf numFmtId="0" fontId="6" fillId="6" borderId="0" xfId="0" applyNumberFormat="1" applyFont="1" applyFill="1" applyBorder="1" applyAlignment="1">
      <x:alignment horizontal="right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1" xfId="0" applyNumberFormat="1" applyFont="1" applyFill="1" applyBorder="1"/>
    <x:xf numFmtId="0" fontId="3" fillId="7" borderId="11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horizontal="center" wrapText="1"/>
    </x:xf>
    <x:xf numFmtId="0" fontId="3" fillId="7" borderId="1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8" xfId="0" applyNumberFormat="1" applyFont="1" applyFill="1" applyBorder="1"/>
    <x:xf numFmtId="0" fontId="6" fillId="0" borderId="19" xfId="0" applyNumberFormat="1" applyFont="1" applyFill="1" applyBorder="1"/>
    <x:xf numFmtId="0" fontId="6" fillId="0" borderId="20" xfId="0" applyNumberFormat="1" applyFont="1" applyFill="1" applyBorder="1"/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8" xfId="0" applyNumberFormat="1" applyFont="1" applyFill="1" applyBorder="1" applyAlignment="1">
      <x:alignment wrapText="1"/>
    </x:xf>
    <x:xf numFmtId="0" fontId="6" fillId="0" borderId="19" xfId="0" applyNumberFormat="1" applyFont="1" applyFill="1" applyBorder="1" applyAlignment="1">
      <x:alignment wrapText="1"/>
    </x:xf>
    <x:xf numFmtId="0" fontId="6" fillId="0" borderId="20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18" xfId="0" applyNumberFormat="1" applyFont="1" applyFill="1" applyBorder="1" applyAlignment="1">
      <x:alignment vertical="top" wrapText="1"/>
    </x:xf>
    <x:xf numFmtId="0" fontId="6" fillId="0" borderId="19" xfId="0" applyNumberFormat="1" applyFont="1" applyFill="1" applyBorder="1" applyAlignment="1">
      <x:alignment vertical="top" wrapText="1"/>
    </x:xf>
    <x:xf numFmtId="0" fontId="6" fillId="0" borderId="20" xfId="0" applyNumberFormat="1" applyFont="1" applyFill="1" applyBorder="1" applyAlignment="1">
      <x:alignment vertical="top" wrapText="1"/>
    </x:xf>
    <x:xf numFmtId="0" fontId="6" fillId="8" borderId="13" xfId="0" applyNumberFormat="1" applyFont="1" applyFill="1" applyBorder="1" applyAlignment="1">
      <x:alignment vertical="top" wrapText="1"/>
    </x:xf>
    <x:xf numFmtId="0" fontId="6" fillId="8" borderId="16" xfId="0" applyNumberFormat="1" applyFont="1" applyFill="1" applyBorder="1" applyAlignment="1">
      <x:alignment vertical="top" wrapText="1"/>
    </x:xf>
    <x:xf numFmtId="0" fontId="6" fillId="8" borderId="19" xfId="0" applyNumberFormat="1" applyFont="1" applyFill="1" applyBorder="1" applyAlignment="1">
      <x:alignment vertical="top" wrapText="1"/>
    </x:xf>
    <x:xf numFmtId="0" fontId="6" fillId="0" borderId="21" xfId="0" applyNumberFormat="1" applyFont="1" applyFill="1" applyBorder="1"/>
    <x:xf numFmtId="0" fontId="6" fillId="0" borderId="22" xfId="0" applyNumberFormat="1" applyFont="1" applyFill="1" applyBorder="1"/>
    <x:xf numFmtId="0" fontId="6" fillId="0" borderId="23" xfId="0" applyNumberFormat="1" applyFont="1" applyFill="1" applyBorder="1"/>
    <x:xf numFmtId="0" fontId="6" fillId="0" borderId="21" xfId="0" applyNumberFormat="1" applyFont="1" applyFill="1" applyBorder="1" applyAlignment="1">
      <x:alignment wrapText="1"/>
    </x:xf>
    <x:xf numFmtId="0" fontId="6" fillId="0" borderId="22" xfId="0" applyNumberFormat="1" applyFont="1" applyFill="1" applyBorder="1" applyAlignment="1">
      <x:alignment wrapText="1"/>
    </x:xf>
    <x:xf numFmtId="0" fontId="6" fillId="0" borderId="23" xfId="0" applyNumberFormat="1" applyFont="1" applyFill="1" applyBorder="1" applyAlignment="1">
      <x:alignment wrapText="1"/>
    </x:xf>
    <x:xf numFmtId="0" fontId="6" fillId="0" borderId="21" xfId="0" applyNumberFormat="1" applyFont="1" applyFill="1" applyBorder="1" applyAlignment="1">
      <x:alignment vertical="top" wrapText="1"/>
    </x:xf>
    <x:xf numFmtId="0" fontId="6" fillId="0" borderId="22" xfId="0" applyNumberFormat="1" applyFont="1" applyFill="1" applyBorder="1" applyAlignment="1">
      <x:alignment vertical="top" wrapText="1"/>
    </x:xf>
    <x:xf numFmtId="0" fontId="6" fillId="0" borderId="2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9" borderId="0" xfId="0" applyNumberFormat="1" applyFont="1" applyFill="1" applyBorder="1" applyAlignment="1">
      <x:alignment horizontal="right" vertical="center" wrapText="1"/>
    </x:xf>
    <x:xf numFmtId="0" fontId="1" fillId="9" borderId="0" xfId="0" applyNumberFormat="1" applyFont="1" applyFill="1" applyBorder="1" applyAlignment="1">
      <x:alignment horizontal="right" vertical="center" wrapText="1"/>
    </x:xf>
    <x:xf numFmtId="0" fontId="0" fillId="10" borderId="0" xfId="0" applyNumberFormat="1" applyFont="1" applyFill="1" applyBorder="1" applyAlignment="1">
      <x:alignment horizontal="right" vertical="center" wrapText="1"/>
    </x:xf>
    <x:xf numFmtId="0" fontId="7" fillId="10" borderId="0" xfId="0" applyNumberFormat="1" applyFont="1" applyFill="1" applyBorder="1" applyAlignment="1">
      <x:alignment horizontal="right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0" fillId="12" borderId="24" xfId="0" applyNumberFormat="1" applyFont="1" applyFill="1" applyBorder="1"/>
    <x:xf numFmtId="0" fontId="0" fillId="12" borderId="24" xfId="0" applyNumberFormat="1" applyFont="1" applyFill="1" applyBorder="1" applyAlignment="1">
      <x:alignment vertical="center"/>
    </x:xf>
    <x:xf numFmtId="0" fontId="8" fillId="12" borderId="24" xfId="0" applyNumberFormat="1" applyFont="1" applyFill="1" applyBorder="1" applyAlignment="1">
      <x:alignment vertical="center"/>
    </x:xf>
    <x:xf numFmtId="0" fontId="0" fillId="12" borderId="24" xfId="0" applyNumberFormat="1" applyFont="1" applyFill="1" applyBorder="1" applyAlignment="1">
      <x:alignment horizontal="center" vertical="center"/>
    </x:xf>
    <x:xf numFmtId="0" fontId="0" fillId="13" borderId="24" xfId="0" applyNumberFormat="1" applyFont="1" applyFill="1" applyBorder="1" applyAlignment="1">
      <x:alignment vertical="center"/>
    </x:xf>
    <x:xf numFmtId="0" fontId="9" fillId="13" borderId="24" xfId="0" applyNumberFormat="1" applyFont="1" applyFill="1" applyBorder="1" applyAlignment="1">
      <x:alignment vertical="center"/>
    </x:xf>
    <x:xf numFmtId="0" fontId="9" fillId="13" borderId="24" xfId="0" applyNumberFormat="1" applyFont="1" applyFill="1" applyBorder="1" applyAlignment="1">
      <x:alignment horizontal="center" vertical="center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8" fillId="15" borderId="24" xfId="0" applyNumberFormat="1" applyFont="1" applyFill="1" applyBorder="1" applyAlignment="1">
      <x:alignment vertical="center"/>
    </x:xf>
    <x:xf numFmtId="0" fontId="0" fillId="15" borderId="24" xfId="0" applyNumberFormat="1" applyFont="1" applyFill="1" applyBorder="1" applyAlignment="1">
      <x:alignment horizontal="center" vertical="center"/>
    </x:xf>
    <x:xf numFmtId="0" fontId="0" fillId="15" borderId="24" xfId="0" applyNumberFormat="1" applyFont="1" applyFill="1" applyBorder="1" applyAlignment="1">
      <x:alignment vertical="center"/>
    </x:xf>
    <x:xf numFmtId="0" fontId="9" fillId="15" borderId="24" xfId="0" applyNumberFormat="1" applyFont="1" applyFill="1" applyBorder="1" applyAlignment="1">
      <x:alignment horizontal="center" vertical="center"/>
    </x:xf>
    <x:xf numFmtId="0" fontId="9" fillId="16" borderId="24" xfId="0" applyNumberFormat="1" applyFont="1" applyFill="1" applyBorder="1" applyAlignment="1">
      <x:alignment horizontal="center" vertical="center"/>
    </x:xf>
    <x:xf numFmtId="0" fontId="3" fillId="7" borderId="1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1">
    <x:dxf>
      <x:font>
        <x:b/>
        <x:color rgb="FF8B1E1E"/>
      </x:font>
      <x:fill>
        <x:patternFill>
          <x:bgColor rgb="FFFBE3E3"/>
        </x:patternFill>
      </x:fill>
    </x:dxf>
    <x:dxf>
      <x:font>
        <x:color rgb="FF6B4A00"/>
      </x:font>
      <x:fill>
        <x:patternFill>
          <x:bgColor rgb="FFFFF5D6"/>
        </x:patternFill>
      </x:fill>
    </x:dxf>
    <x:dxf>
      <x:fill>
        <x:patternFill>
          <x:bgColor rgb="FFEDF3F8"/>
        </x:patternFill>
      </x:fill>
    </x:dxf>
    <x:dxf>
      <x:font>
        <x:color rgb="FF59636B"/>
      </x:font>
      <x:fill>
        <x:patternFill>
          <x:bgColor rgb="FFF2F4F5"/>
        </x:patternFill>
      </x:fill>
    </x:dxf>
    <x:dxf>
      <x:font>
        <x:b/>
        <x:color rgb="FF8B1E1E"/>
      </x:font>
      <x:fill>
        <x:patternFill>
          <x:bgColor rgb="FFFBE3E3"/>
        </x:patternFill>
      </x:fill>
    </x:dxf>
    <x:dxf>
      <x:font>
        <x:color rgb="FF6B4A00"/>
      </x:font>
      <x:fill>
        <x:patternFill>
          <x:bgColor rgb="FFFFF5D6"/>
        </x:patternFill>
      </x:fill>
    </x:dxf>
    <x:dxf>
      <x:fill>
        <x:patternFill>
          <x:bgColor rgb="FFEDF3F8"/>
        </x:patternFill>
      </x:fill>
    </x:dxf>
    <x:dxf>
      <x:font>
        <x:color rgb="FF59636B"/>
      </x:font>
      <x:fill>
        <x:patternFill>
          <x:bgColor rgb="FFF2F4F5"/>
        </x:patternFill>
      </x:fill>
    </x:dxf>
    <x:dxf>
      <x:font>
        <x:b/>
        <x:color rgb="FF8B1E1E"/>
      </x:font>
      <x:fill>
        <x:patternFill>
          <x:bgColor rgb="FFFBE3E3"/>
        </x:patternFill>
      </x:fill>
    </x:dxf>
    <x:dxf>
      <x:font>
        <x:color rgb="FF6B4A00"/>
      </x:font>
      <x:fill>
        <x:patternFill>
          <x:bgColor rgb="FFFFF5D6"/>
        </x:patternFill>
      </x:fill>
    </x:dxf>
    <x:dxf>
      <x:fill>
        <x:patternFill>
          <x:bgColor rgb="FFEDF3F8"/>
        </x:patternFill>
      </x:fill>
    </x:dxf>
    <x:dxf>
      <x:font>
        <x:color rgb="FF59636B"/>
      </x:font>
      <x:fill>
        <x:patternFill>
          <x:bgColor rgb="FFF2F4F5"/>
        </x:patternFill>
      </x:fill>
    </x:dxf>
    <x:dxf>
      <x:font>
        <x:b/>
        <x:color rgb="FF8B1E1E"/>
      </x:font>
      <x:fill>
        <x:patternFill>
          <x:bgColor rgb="FFFBE3E3"/>
        </x:patternFill>
      </x:fill>
    </x:dxf>
    <x:dxf>
      <x:font>
        <x:color rgb="FF6B4A00"/>
      </x:font>
      <x:fill>
        <x:patternFill>
          <x:bgColor rgb="FFFFF5D6"/>
        </x:patternFill>
      </x:fill>
    </x:dxf>
    <x:dxf>
      <x:fill>
        <x:patternFill>
          <x:bgColor rgb="FFEDF3F8"/>
        </x:patternFill>
      </x:fill>
    </x:dxf>
    <x:dxf>
      <x:font>
        <x:color rgb="FF59636B"/>
      </x:font>
      <x:fill>
        <x:patternFill>
          <x:bgColor rgb="FFF2F4F5"/>
        </x:patternFill>
      </x:fill>
    </x:dxf>
    <x:dxf>
      <x:font>
        <x:b/>
        <x:color rgb="FF186A3B"/>
      </x:font>
      <x:fill>
        <x:patternFill>
          <x:bgColor rgb="FFDDF1E4"/>
        </x:patternFill>
      </x:fill>
    </x:dxf>
    <x:dxf>
      <x:font>
        <x:b/>
        <x:color rgb="FF8B1E1E"/>
      </x:font>
      <x:fill>
        <x:patternFill>
          <x:bgColor rgb="FFFBE3E3"/>
        </x:patternFill>
      </x:fill>
    </x:dxf>
    <x:dxf>
      <x:font>
        <x:b/>
        <x:color rgb="FF186A3B"/>
      </x:font>
      <x:fill>
        <x:patternFill>
          <x:bgColor rgb="FFDDF1E4"/>
        </x:patternFill>
      </x:fill>
    </x:dxf>
    <x:dxf>
      <x:font>
        <x:b/>
        <x:color rgb="FF14532D"/>
      </x:font>
      <x:fill>
        <x:patternFill>
          <x:bgColor rgb="FFDDF3E4"/>
        </x:patternFill>
      </x:fill>
    </x:dxf>
    <x:dxf>
      <x:font>
        <x:b/>
        <x:color rgb="FF7F1D1D"/>
      </x:font>
      <x:fill>
        <x:patternFill>
          <x:bgColor rgb="FFFC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f54e312f1b4272" /><Relationship Type="http://schemas.openxmlformats.org/officeDocument/2006/relationships/theme" Target="/xl/theme/theme1.xml" Id="Rcf5fa7e8ed9c4fc6" /><Relationship Type="http://schemas.openxmlformats.org/officeDocument/2006/relationships/sharedStrings" Target="/xl/sharedStrings.xml" Id="Ra9c835eea63e40c4" /><Relationship Type="http://schemas.openxmlformats.org/officeDocument/2006/relationships/worksheet" Target="/xl/worksheets/sheet1.xml" Id="R8654d913af504301" /><Relationship Type="http://schemas.openxmlformats.org/officeDocument/2006/relationships/worksheet" Target="/xl/worksheets/sheet2.xml" Id="R8d0aaa80292a49c6" /><Relationship Type="http://schemas.openxmlformats.org/officeDocument/2006/relationships/worksheet" Target="/xl/worksheets/sheet3.xml" Id="R13137d3a43be42d9" /><Relationship Type="http://schemas.openxmlformats.org/officeDocument/2006/relationships/worksheet" Target="/xl/worksheets/sheet4.xml" Id="R569b2ae5f6ce46c7" /><Relationship Type="http://schemas.openxmlformats.org/officeDocument/2006/relationships/worksheet" Target="/xl/worksheets/sheet5.xml" Id="R83282d84e8a64858" /><Relationship Type="http://schemas.openxmlformats.org/officeDocument/2006/relationships/worksheet" Target="/xl/worksheets/sheet6.xml" Id="R2198560bcda24bd2" /><Relationship Type="http://schemas.openxmlformats.org/officeDocument/2006/relationships/worksheet" Target="/xl/worksheets/sheet7.xml" Id="R67ac3e5e991a4af2" /><Relationship Type="http://schemas.openxmlformats.org/officeDocument/2006/relationships/worksheet" Target="/xl/worksheets/sheet8.xml" Id="R4ab2702ddcad4e3d" /><Relationship Type="http://schemas.openxmlformats.org/officeDocument/2006/relationships/worksheet" Target="/xl/worksheets/sheet9.xml" Id="Rb6729875bb5648e0" /><Relationship Type="http://schemas.openxmlformats.org/officeDocument/2006/relationships/worksheet" Target="/xl/worksheets/sheet10.xml" Id="R3b60e0c313274789" /><Relationship Type="http://schemas.openxmlformats.org/officeDocument/2006/relationships/worksheet" Target="/xl/worksheets/sheet11.xml" Id="R2f88d7950efa409a" /><Relationship Type="http://schemas.openxmlformats.org/officeDocument/2006/relationships/worksheet" Target="/xl/worksheets/sheet12.xml" Id="R8f85b06bb9cc4de7" /><Relationship Type="http://schemas.openxmlformats.org/officeDocument/2006/relationships/worksheet" Target="/xl/worksheets/sheet13.xml" Id="Ra29c6c5372e04622" /><Relationship Type="http://schemas.microsoft.com/office/2017/10/relationships/person" Target="/xl/persons/person.xml" Id="R165a20b1135c4964" /></Relationships>
</file>

<file path=xl/persons/person.xml><?xml version="1.0" encoding="utf-8"?>
<xltc:personList xmlns:xltc="http://schemas.microsoft.com/office/spreadsheetml/2018/threadedcomments">
  <xltc:person displayName="Uri Haelyon" id="{BBA469AF-D967-42B7-8D95-6F5FEFC63197}"/>
</xltc:personList>
</file>

<file path=xl/tables/table1.xml><?xml version="1.0" encoding="utf-8"?>
<x:table xmlns:x="http://schemas.openxmlformats.org/spreadsheetml/2006/main" id="1" name="CaseMetaTable" displayName="CaseMetaTable" ref="A4:B19" headerRowCount="1" totalsRowCount="0" totalsRowShown="0">
  <x:autoFilter ref="A4:B19"/>
  <x:tableColumns count="2">
    <x:tableColumn id="1" name="שדה"/>
    <x:tableColumn id="2" name="ערך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AnamnesisTable" displayName="CaseAnamnesisTable" ref="A4:H93" headerRowCount="1" totalsRowCount="0" totalsRowShown="0">
  <x:autoFilter ref="A4:H93"/>
  <x:tableColumns count="8">
    <x:tableColumn id="1" name="מזהה ערך בתיק"/>
    <x:tableColumn id="2" name="מזהה רכיב בסיס"/>
    <x:tableColumn id="3" name="כוונת הבירור"/>
    <x:tableColumn id="4" name="תשובת המטופל"/>
    <x:tableColumn id="5" name="חשיבות במקרה"/>
    <x:tableColumn id="6" name="היגיון למשוב"/>
    <x:tableColumn id="7" name="סטטוס"/>
    <x:tableColumn id="8" name="הערות הפעלה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ePhysicalTable" displayName="CasePhysicalTable" ref="A4:H49" headerRowCount="1" totalsRowCount="0" totalsRowShown="0">
  <x:autoFilter ref="A4:H49"/>
  <x:tableColumns count="8">
    <x:tableColumn id="1" name="מזהה ערך בתיק"/>
    <x:tableColumn id="2" name="מזהה רכיב בסיס"/>
    <x:tableColumn id="3" name="רכיב בדיקה"/>
    <x:tableColumn id="4" name="ממצא במקרה"/>
    <x:tableColumn id="5" name="חשיבות במקרה"/>
    <x:tableColumn id="6" name="היגיון למשוב"/>
    <x:tableColumn id="7" name="סטטוס"/>
    <x:tableColumn id="8" name="הערות הפעלה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seImmediateTable" displayName="CaseImmediateTable" ref="A4:K37" headerRowCount="1" totalsRowCount="0" totalsRowShown="0">
  <x:autoFilter ref="A4:K37"/>
  <x:tableColumns count="11">
    <x:tableColumn id="1" name="מזהה ערך בתיק"/>
    <x:tableColumn id="2" name="מזהה רכיב בסיס"/>
    <x:tableColumn id="3" name="בדיקה או רכיב"/>
    <x:tableColumn id="4" name="תוצאה להצגה"/>
    <x:tableColumn id="5" name="ערך מספרי"/>
    <x:tableColumn id="6" name="יחידה"/>
    <x:tableColumn id="7" name="טווח ייחוס"/>
    <x:tableColumn id="8" name="פרשנות במקרה"/>
    <x:tableColumn id="9" name="חשיבות במקרה"/>
    <x:tableColumn id="10" name="היגיון למשוב"/>
    <x:tableColumn id="11" name="סטטוס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seFollowupTable" displayName="CaseFollowupTable" ref="A4:I13" headerRowCount="1" totalsRowCount="0" totalsRowShown="0">
  <x:autoFilter ref="A4:I13"/>
  <x:tableColumns count="9">
    <x:tableColumn id="1" name="מזהה ערך בתיק"/>
    <x:tableColumn id="2" name="מזהה רכיב בסיס"/>
    <x:tableColumn id="3" name="בדיקה"/>
    <x:tableColumn id="4" name="תוצאה קבועה"/>
    <x:tableColumn id="5" name="זמינות"/>
    <x:tableColumn id="6" name="השפעה על החשיבה"/>
    <x:tableColumn id="7" name="חשיבות במקרה"/>
    <x:tableColumn id="8" name="היגיון למשוב"/>
    <x:tableColumn id="9" name="סטטוס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aseDecisionsTable" displayName="CaseDecisionsTable" ref="A4:E25" headerRowCount="1" totalsRowCount="0" totalsRowShown="0">
  <x:autoFilter ref="A4:E25"/>
  <x:tableColumns count="5">
    <x:tableColumn id="1" name="מזהה"/>
    <x:tableColumn id="2" name="שלב"/>
    <x:tableColumn id="3" name="פעולה או אפשרות"/>
    <x:tableColumn id="4" name="מעמד במקרה"/>
    <x:tableColumn id="5" name="היגיון צפוי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seFeedbackTable" displayName="CaseFeedbackTable" ref="A4:D23" headerRowCount="1" totalsRowCount="0" totalsRowShown="0">
  <x:autoFilter ref="A4:D23"/>
  <x:tableColumns count="4">
    <x:tableColumn id="1" name="מזהה"/>
    <x:tableColumn id="2" name="תחום"/>
    <x:tableColumn id="3" name="סוג כלל"/>
    <x:tableColumn id="4" name="הנחיה למערכת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7bcee658de41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a739456db74f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66b1003c5b40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e2f6e313b94b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883e1ce206844e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ff44713d1e402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7966f76c75c48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0" customHeight="1">
      <x:c r="A1" s="74" t="str">
        <x:v>תיק מטופל CASE-001 — תעוקת חזה יציבה — גרסה 2</x:v>
      </x:c>
      <x:c r="B1" s="74"/>
      <x:c r="C1" s="74"/>
      <x:c r="D1" s="74"/>
      <x:c r="E1" s="74"/>
      <x:c r="F1" s="74"/>
      <x:c r="G1" s="74"/>
      <x:c r="H1" s="74"/>
    </x:row>
    <x:row r="2" ht="34" customHeight="1">
      <x:c r="A2" s="79" t="str">
        <x:v>תיק עובדות נפרד המקושר למסד הבסיס v2. ה-AI מפרש משמעות בשפה חופשית, אך מוגבל לעובדות המאושרות בתיק.</x:v>
      </x:c>
      <x:c r="B2" s="79"/>
      <x:c r="C2" s="79"/>
      <x:c r="D2" s="79"/>
      <x:c r="E2" s="79"/>
      <x:c r="F2" s="79"/>
      <x:c r="G2" s="79"/>
      <x:c r="H2" s="79"/>
    </x:row>
    <x:row r="4">
      <x:c r="A4" s="85" t="str">
        <x:v>עיקרון</x:v>
      </x:c>
      <x:c r="B4" s="85" t="str">
        <x:v>יישום בתיק</x:v>
      </x:c>
    </x:row>
    <x:row r="5">
      <x:c r="A5" s="105" t="str">
        <x:v>זהות</x:v>
      </x:c>
      <x:c r="B5" s="107" t="str">
        <x:v>המטופל מזוהה בראשי התיבות א׳ ש׳ בלבד.</x:v>
      </x:c>
    </x:row>
    <x:row r="6">
      <x:c r="A6" s="108" t="str">
        <x:v>מענה ממוקד</x:v>
      </x:c>
      <x:c r="B6" s="110" t="str">
        <x:v>המטופל עונה רק למה שנשאל ואינו מנדב תרופות, מחלות עבר או טיפולים נוספים.</x:v>
      </x:c>
    </x:row>
    <x:row r="7">
      <x:c r="A7" s="108" t="str">
        <x:v>הבנת שפה</x:v>
      </x:c>
      <x:c r="B7" s="110" t="str">
        <x:v>שאלות מפורשות לפי משמעות רפואית, לרבות שגיאות כתיב, מילים נרדפות ובקשות רחבות.</x:v>
      </x:c>
    </x:row>
    <x:row r="8">
      <x:c r="A8" s="108" t="str">
        <x:v>עובדה חסרה</x:v>
      </x:c>
      <x:c r="B8" s="110" t="str">
        <x:v>אם השאלה מובנת אך אין עובדה בתיק: תשובה אנושית כגון 'איני יודע' או 'איני זוכר'.</x:v>
      </x:c>
    </x:row>
    <x:row r="9">
      <x:c r="A9" s="108" t="str">
        <x:v>עולם קליני סגור</x:v>
      </x:c>
      <x:c r="B9" s="110" t="str">
        <x:v>אין להמציא עובדות; מותר לנסח את העובדות המאושרות באופן טבעי.</x:v>
      </x:c>
    </x:row>
    <x:row r="10">
      <x:c r="A10" s="108" t="str">
        <x:v>בדיקות דם</x:v>
      </x:c>
      <x:c r="B10" s="110" t="str">
        <x:v>כל תוצאה מספרית מוצגת עם יחידה וטווח הייחוס של המעבדה.</x:v>
      </x:c>
    </x:row>
    <x:row r="11">
      <x:c r="A11" s="108" t="str">
        <x:v>בדיקות המשך</x:v>
      </x:c>
      <x:c r="B11" s="110" t="str">
        <x:v>לפני התוצאות התלמיד מחליט על פעולה רפואית; לאחר מכן נאמר שחלף שבוע ונמסרות רק תוצאות שביקש.</x:v>
      </x:c>
    </x:row>
    <x:row r="12">
      <x:c r="A12" s="108" t="str">
        <x:v>PDF ביניים</x:v>
      </x:c>
      <x:c r="B12" s="110" t="str">
        <x:v>אפשר להפיק בכל שלב תיעוד מלא ומשוב שנצבר עד כה.</x:v>
      </x:c>
    </x:row>
    <x:row r="13">
      <x:c r="A13" s="111" t="str">
        <x:v>ללא ניקוד</x:v>
      </x:c>
      <x:c r="B13" s="113" t="str">
        <x:v>החשיבות משמשת למשוב איכותני בלבד.</x:v>
      </x:c>
    </x:row>
    <x:row r="14">
      <x:c r="A14" s="126" t="str">
        <x:v>מקור אמת מספרי</x:v>
      </x:c>
      <x:c r="B14" s="126" t="str">
        <x:v>ערכי מטופל, יחידות וטווחים מוזנים רק בגיליון תוצאות_מספריות; בדיקות_מיידיות מכיל הגדרה ופרשנות בלבד.</x:v>
      </x:c>
      <x:c r="C14" s="126"/>
      <x:c r="D14" s="126"/>
      <x:c r="E14" s="126"/>
      <x:c r="F14" s="126"/>
      <x:c r="G14" s="126"/>
      <x:c r="H14" s="126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88" hidden="0" customWidth="1"/>
  </x:cols>
  <x:sheetData>
    <x:row r="1" ht="30" customHeight="1">
      <x:c r="A1" s="4" t="str">
        <x:v>מטא-נתונים ופתיחת המקרה</x:v>
      </x:c>
      <x:c r="B1" s="4" t="str">
        <x:v>מטא-נתונים ופתיחת המקרה</x:v>
      </x:c>
    </x:row>
    <x:row r="2" ht="30" customHeight="1">
      <x:c r="A2" s="9" t="str">
        <x:v>המידע היחיד שנחשף אוטומטית לתלמיד הוא נוסח הפתיחה. יתר השדות הם פנימיים.</x:v>
      </x:c>
      <x:c r="B2" s="9" t="str">
        <x:v>המידע היחיד שנחשף אוטומטית לתלמיד הוא נוסח הפתיחה. יתר השדות הם פנימיים.</x:v>
      </x:c>
    </x:row>
    <x:row r="4" ht="34" customHeight="1">
      <x:c r="A4" s="24" t="str">
        <x:v>שדה</x:v>
      </x:c>
      <x:c r="B4" s="25" t="str">
        <x:v>ערך</x:v>
      </x:c>
    </x:row>
    <x:row r="5">
      <x:c r="A5" s="45" t="str">
        <x:v>מזהה מקרה</x:v>
      </x:c>
      <x:c r="B5" s="46" t="str">
        <x:v>CASE-001</x:v>
      </x:c>
    </x:row>
    <x:row r="6">
      <x:c r="A6" s="47" t="str">
        <x:v>מזהה מחלה במסד הכללי</x:v>
      </x:c>
      <x:c r="B6" s="48" t="str">
        <x:v>DIS-001</x:v>
      </x:c>
    </x:row>
    <x:row r="7">
      <x:c r="A7" s="47" t="str">
        <x:v>אבחנה ידועה למערכת</x:v>
      </x:c>
      <x:c r="B7" s="48" t="str">
        <x:v>תעוקת חזה יציבה</x:v>
      </x:c>
    </x:row>
    <x:row r="8">
      <x:c r="A8" s="47" t="str">
        <x:v>ראשי תיבות מטופל</x:v>
      </x:c>
      <x:c r="B8" s="48" t="str">
        <x:v>א׳ ש׳</x:v>
      </x:c>
    </x:row>
    <x:row r="9">
      <x:c r="A9" s="47" t="str">
        <x:v>גיל</x:v>
      </x:c>
      <x:c r="B9" s="48" t="n">
        <x:v>58</x:v>
      </x:c>
    </x:row>
    <x:row r="10">
      <x:c r="A10" s="47" t="str">
        <x:v>מין</x:v>
      </x:c>
      <x:c r="B10" s="48" t="str">
        <x:v>גבר</x:v>
      </x:c>
    </x:row>
    <x:row r="11">
      <x:c r="A11" s="47" t="str">
        <x:v>מצב בזמן הכניסה</x:v>
      </x:c>
      <x:c r="B11" s="48" t="str">
        <x:v>ללא תסמין פעיל וללא מצוקה</x:v>
      </x:c>
    </x:row>
    <x:row r="12">
      <x:c r="A12" s="47" t="str">
        <x:v>נוסח פתיחה לתלמיד</x:v>
      </x:c>
      <x:c r="B12" s="48" t="str">
        <x:v>א׳ ש׳, גבר בן 58, פונה לרופא קופת החולים בשל תחושת אי-נוחות חוזרת בחזה בחודשים האחרונים. בזמן כניסתו לחדר אינו סובל מהתסמין.</x:v>
      </x:c>
    </x:row>
    <x:row r="13">
      <x:c r="A13" s="47" t="str">
        <x:v>אמת קלינית</x:v>
      </x:c>
      <x:c r="B13" s="48" t="str">
        <x:v>מחלה טרשתית כלילית עם היצרות משמעותית אך לא מלאה; איסכמיה חולפת במאמץ ללא נמק, ללא אוטם וללא אי-ספיקת לב.</x:v>
      </x:c>
    </x:row>
    <x:row r="14">
      <x:c r="A14" s="47" t="str">
        <x:v>מצב דינמי</x:v>
      </x:c>
      <x:c r="B14" s="48" t="str">
        <x:v>אין שינוי במצב המטופל במהלך הקבלה</x:v>
      </x:c>
    </x:row>
    <x:row r="15">
      <x:c r="A15" s="47" t="str">
        <x:v>אישור בדיקות בפיילוט</x:v>
      </x:c>
      <x:c r="B15" s="48" t="str">
        <x:v>כל בקשת בדיקה מאושרת; תנאי אישור במסד הכללי אינם מופעלים</x:v>
      </x:c>
    </x:row>
    <x:row r="16">
      <x:c r="A16" s="47" t="str">
        <x:v>משך שמירה</x:v>
      </x:c>
      <x:c r="B16" s="48" t="n">
        <x:v>14</x:v>
      </x:c>
    </x:row>
    <x:row r="17">
      <x:c r="A17" s="47" t="str">
        <x:v>יחידת משך שמירה</x:v>
      </x:c>
      <x:c r="B17" s="48" t="str">
        <x:v>ימים</x:v>
      </x:c>
    </x:row>
    <x:row r="18">
      <x:c r="A18" s="47" t="str">
        <x:v>גרסת תיק</x:v>
      </x:c>
      <x:c r="B18" s="48" t="str">
        <x:v>2.1</x:v>
      </x:c>
    </x:row>
    <x:row r="19">
      <x:c r="A19" s="49" t="str">
        <x:v>סטטוס</x:v>
      </x:c>
      <x:c r="B19" s="50" t="str">
        <x:v>מאושר לבניית אב-טיפוס</x:v>
      </x:c>
    </x:row>
    <x:row r="20">
      <x:c r="A20" s="105" t="str">
        <x:v>מטרת למידה</x:v>
      </x:c>
      <x:c r="B20" s="107" t="str">
        <x:v>זיהוי תמונה קלאסית של תעוקת חזה יציבה, איסוף גורמי סיכון ובחירת בירור וטיפול מידתיים.</x:v>
      </x:c>
    </x:row>
    <x:row r="21">
      <x:c r="A21" s="108" t="str">
        <x:v>מנוע שיחה</x:v>
      </x:c>
      <x:c r="B21" s="110" t="str">
        <x:v>AI סמנטי לפי מדיניות_AI במסד הבסיס</x:v>
      </x:c>
    </x:row>
    <x:row r="22">
      <x:c r="A22" s="108" t="str">
        <x:v>מענה יזום</x:v>
      </x:c>
      <x:c r="B22" s="110" t="str">
        <x:v>אין לנדב מידע שלא נשאל</x:v>
      </x:c>
    </x:row>
    <x:row r="23">
      <x:c r="A23" s="108" t="str">
        <x:v>נקודת החלטה לפני המשך</x:v>
      </x:c>
      <x:c r="B23" s="110" t="str">
        <x:v>חובה לפני הצגת תוצאות בדיקות ההמשך</x:v>
      </x:c>
    </x:row>
    <x:row r="24">
      <x:c r="A24" s="111" t="str">
        <x:v>PDF ביניים</x:v>
      </x:c>
      <x:c r="B24" s="113" t="str">
        <x:v>זמין בכל שלב עם משוב עד כה</x:v>
      </x:c>
    </x:row>
    <x:row r="25" ht="58" customHeight="1">
      <x:c r="A25" s="126" t="str">
        <x:v>פרסונה קצרה</x:v>
      </x:c>
      <x:c r="B25" s="126" t="str">
        <x:v>מדבר בשפה יומיומית ובמשפטים קצרים וברורים; מעט מודאג אך משתף פעולה; עונה רק למה שנשאל ואינו מנדב מידע רפואי נוסף.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6b7bcee658de41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26.670000076293945" hidden="0" customWidth="1"/>
    <x:col min="4" max="4" width="47.779998779296875" hidden="0" customWidth="1"/>
    <x:col min="5" max="5" width="13.890000343322754" hidden="0" customWidth="1"/>
    <x:col min="6" max="6" width="37.779998779296875" hidden="0" customWidth="1"/>
    <x:col min="7" max="7" width="10" hidden="0" customWidth="1"/>
    <x:col min="8" max="8" width="27.780000686645508" hidden="0" customWidth="1"/>
  </x:cols>
  <x:sheetData>
    <x:row r="1" ht="30" customHeight="1">
      <x:c r="A1" s="4" t="str">
        <x:v>ערכי אנמנזה — א׳ ש׳</x:v>
      </x:c>
      <x:c r="B1" s="4" t="str">
        <x:v>ערכי אנמנזה — א׳ ש׳</x:v>
      </x:c>
      <x:c r="C1" s="4" t="str">
        <x:v>ערכי אנמנזה — א׳ ש׳</x:v>
      </x:c>
      <x:c r="D1" s="4" t="str">
        <x:v>ערכי אנמנזה — א׳ ש׳</x:v>
      </x:c>
      <x:c r="E1" s="4" t="str">
        <x:v>ערכי אנמנזה — א׳ ש׳</x:v>
      </x:c>
      <x:c r="F1" s="4" t="str">
        <x:v>ערכי אנמנזה — א׳ ש׳</x:v>
      </x:c>
      <x:c r="G1" s="4" t="str">
        <x:v>ערכי אנמנזה — א׳ ש׳</x:v>
      </x:c>
      <x:c r="H1" s="4" t="str">
        <x:v>ערכי אנמנזה — א׳ ש׳</x:v>
      </x:c>
    </x:row>
    <x:row r="2" ht="30" customHeight="1">
      <x:c r="A2" s="9" t="str">
        <x:v>כל 89 מזהי האנמנזה במסד הכללי קיבלו ערך. המענה מנוסח בגוף ראשון כדי לאפשר תשובה טבעית.</x:v>
      </x:c>
      <x:c r="B2" s="9" t="str">
        <x:v>כל 89 מזהי האנמנזה במסד הכללי קיבלו ערך. המענה מנוסח בגוף ראשון כדי לאפשר תשובה טבעית.</x:v>
      </x:c>
      <x:c r="C2" s="9" t="str">
        <x:v>כל 89 מזהי האנמנזה במסד הכללי קיבלו ערך. המענה מנוסח בגוף ראשון כדי לאפשר תשובה טבעית.</x:v>
      </x:c>
      <x:c r="D2" s="9" t="str">
        <x:v>כל 89 מזהי האנמנזה במסד הכללי קיבלו ערך. המענה מנוסח בגוף ראשון כדי לאפשר תשובה טבעית.</x:v>
      </x:c>
      <x:c r="E2" s="9" t="str">
        <x:v>כל 89 מזהי האנמנזה במסד הכללי קיבלו ערך. המענה מנוסח בגוף ראשון כדי לאפשר תשובה טבעית.</x:v>
      </x:c>
      <x:c r="F2" s="9" t="str">
        <x:v>כל 89 מזהי האנמנזה במסד הכללי קיבלו ערך. המענה מנוסח בגוף ראשון כדי לאפשר תשובה טבעית.</x:v>
      </x:c>
      <x:c r="G2" s="9" t="str">
        <x:v>כל 89 מזהי האנמנזה במסד הכללי קיבלו ערך. המענה מנוסח בגוף ראשון כדי לאפשר תשובה טבעית.</x:v>
      </x:c>
      <x:c r="H2" s="9" t="str">
        <x:v>כל 89 מזהי האנמנזה במסד הכללי קיבלו ערך. המענה מנוסח בגוף ראשון כדי לאפשר תשובה טבעית.</x:v>
      </x:c>
    </x:row>
    <x:row r="4" ht="34" customHeight="1">
      <x:c r="A4" s="24" t="str">
        <x:v>מזהה ערך בתיק</x:v>
      </x:c>
      <x:c r="B4" s="54" t="str">
        <x:v>מזהה רכיב בסיס</x:v>
      </x:c>
      <x:c r="C4" s="54" t="str">
        <x:v>כוונת הבירור</x:v>
      </x:c>
      <x:c r="D4" s="54" t="str">
        <x:v>תשובת המטופל</x:v>
      </x:c>
      <x:c r="E4" s="54" t="str">
        <x:v>חשיבות במקרה</x:v>
      </x:c>
      <x:c r="F4" s="54" t="str">
        <x:v>היגיון למשוב</x:v>
      </x:c>
      <x:c r="G4" s="54" t="str">
        <x:v>סטטוס</x:v>
      </x:c>
      <x:c r="H4" s="25" t="str">
        <x:v>הערות הפעלה</x:v>
      </x:c>
    </x:row>
    <x:row r="5">
      <x:c r="A5" s="45" t="str">
        <x:v>CASE-001-AN-001</x:v>
      </x:c>
      <x:c r="B5" s="64" t="str">
        <x:v>AN-001</x:v>
      </x:c>
      <x:c r="C5" s="64" t="str">
        <x:v>גיל</x:v>
      </x:c>
      <x:c r="D5" s="64" t="str">
        <x:v>אני בן 58.</x:v>
      </x:c>
      <x:c r="E5" s="64" t="str">
        <x:v>חשוב</x:v>
      </x:c>
      <x:c r="F5" s="64" t="str">
        <x:v>גיל עשוי לחזק את ההערכה ולשפר את התכנון הקליני.</x:v>
      </x:c>
      <x:c r="G5" s="64" t="str">
        <x:v>מאושר</x:v>
      </x:c>
      <x:c r="H5" s="46" t="str">
        <x:v>לענות רק למה שנשאל; מותר לנסח באופן טבעי בלי להוסיף עובדות.</x:v>
      </x:c>
    </x:row>
    <x:row r="6">
      <x:c r="A6" s="47" t="str">
        <x:v>CASE-001-AN-002</x:v>
      </x:c>
      <x:c r="B6" s="65" t="str">
        <x:v>AN-002</x:v>
      </x:c>
      <x:c r="C6" s="65" t="str">
        <x:v>מין</x:v>
      </x:c>
      <x:c r="D6" s="65" t="str">
        <x:v>גבר.</x:v>
      </x:c>
      <x:c r="E6" s="65" t="str">
        <x:v>חשוב</x:v>
      </x:c>
      <x:c r="F6" s="65" t="str">
        <x:v>מין עשוי לחזק את ההערכה ולשפר את התכנון הקליני.</x:v>
      </x:c>
      <x:c r="G6" s="65" t="str">
        <x:v>מאושר</x:v>
      </x:c>
      <x:c r="H6" s="48" t="str">
        <x:v>לענות רק למה שנשאל; מותר לנסח באופן טבעי בלי להוסיף עובדות.</x:v>
      </x:c>
    </x:row>
    <x:row r="7">
      <x:c r="A7" s="47" t="str">
        <x:v>CASE-001-AN-003</x:v>
      </x:c>
      <x:c r="B7" s="65" t="str">
        <x:v>AN-003</x:v>
      </x:c>
      <x:c r="C7" s="65" t="str">
        <x:v>מוצא</x:v>
      </x:c>
      <x:c r="D7" s="65" t="str">
        <x:v>נולדתי בישראל.</x:v>
      </x:c>
      <x:c r="E7" s="65" t="str">
        <x:v>בדרך כלל לא מרכזי</x:v>
      </x:c>
      <x:c r="F7" s="65" t="str">
        <x:v>מוצא לגיטימי, אך תרומתו נמוכה במקרה זה ללא רמז מכוון.</x:v>
      </x:c>
      <x:c r="G7" s="65" t="str">
        <x:v>מאושר</x:v>
      </x:c>
      <x:c r="H7" s="48" t="str">
        <x:v>לענות רק למה שנשאל; מותר לנסח באופן טבעי בלי להוסיף עובדות.</x:v>
      </x:c>
    </x:row>
    <x:row r="8">
      <x:c r="A8" s="47" t="str">
        <x:v>CASE-001-AN-004</x:v>
      </x:c>
      <x:c r="B8" s="65" t="str">
        <x:v>AN-004</x:v>
      </x:c>
      <x:c r="C8" s="65" t="str">
        <x:v>מצב משפחתי ותמיכה בבית</x:v>
      </x:c>
      <x:c r="D8" s="65" t="str">
        <x:v>אני נשוי, גר עם אשתי ויש לנו שני ילדים בוגרים. יש לי תמיכה בבית.</x:v>
      </x:c>
      <x:c r="E8" s="65" t="str">
        <x:v>משלים</x:v>
      </x:c>
      <x:c r="F8" s="65" t="str">
        <x:v>מצב משפחתי ותמיכה בבית עשוי להשלים את התמונה בהתאם למסלול הבירור.</x:v>
      </x:c>
      <x:c r="G8" s="65" t="str">
        <x:v>מאושר</x:v>
      </x:c>
      <x:c r="H8" s="48" t="str">
        <x:v>לענות רק למה שנשאל; מותר לנסח באופן טבעי בלי להוסיף עובדות.</x:v>
      </x:c>
    </x:row>
    <x:row r="9">
      <x:c r="A9" s="47" t="str">
        <x:v>CASE-001-AN-005</x:v>
      </x:c>
      <x:c r="B9" s="65" t="str">
        <x:v>AN-005</x:v>
      </x:c>
      <x:c r="C9" s="65" t="str">
        <x:v>מקצוע ואופי העבודה</x:v>
      </x:c>
      <x:c r="D9" s="65" t="str">
        <x:v>אני עובד בתפקיד מנהלי בבית ספר. רוב יום העבודה שלי בישיבה ואינו כרוך במאמץ גופני.</x:v>
      </x:c>
      <x:c r="E9" s="65" t="str">
        <x:v>חשוב</x:v>
      </x:c>
      <x:c r="F9" s="65" t="str">
        <x:v>מקצוע ואופי העבודה עשוי לחזק את ההערכה ולשפר את התכנון הקליני.</x:v>
      </x:c>
      <x:c r="G9" s="65" t="str">
        <x:v>מאושר</x:v>
      </x:c>
      <x:c r="H9" s="48" t="str">
        <x:v>לענות רק למה שנשאל; מותר לנסח באופן טבעי בלי להוסיף עובדות.</x:v>
      </x:c>
    </x:row>
    <x:row r="10">
      <x:c r="A10" s="47" t="str">
        <x:v>CASE-001-AN-006</x:v>
      </x:c>
      <x:c r="B10" s="65" t="str">
        <x:v>AN-006</x:v>
      </x:c>
      <x:c r="C10" s="65" t="str">
        <x:v>הסיבה שבגללה הגיע כעת</x:v>
      </x:c>
      <x:c r="D10" s="65" t="str">
        <x:v>הגעתי בגלל תחושת לחץ או כובד בחזה שחוזרת בזמן מאמץ. כרגע איני מרגיש אותה.</x:v>
      </x:c>
      <x:c r="E10" s="65" t="str">
        <x:v>חיוני במקרה</x:v>
      </x:c>
      <x:c r="F10" s="65" t="str">
        <x:v>הסיבה שבגללה הגיע כעת נחוץ להבנת התמונה, לבטיחות, להערכת הסיכון או לתכנון הטיפול.</x:v>
      </x:c>
      <x:c r="G10" s="65" t="str">
        <x:v>מאושר</x:v>
      </x:c>
      <x:c r="H10" s="48" t="str">
        <x:v>לענות רק למה שנשאל; מותר לנסח באופן טבעי בלי להוסיף עובדות.</x:v>
      </x:c>
    </x:row>
    <x:row r="11">
      <x:c r="A11" s="47" t="str">
        <x:v>CASE-001-AN-007</x:v>
      </x:c>
      <x:c r="B11" s="65" t="str">
        <x:v>AN-007</x:v>
      </x:c>
      <x:c r="C11" s="65" t="str">
        <x:v>התסמין הדומיננטי</x:v>
      </x:c>
      <x:c r="D11" s="65" t="str">
        <x:v>התסמין העיקרי הוא לחץ או כובד בחזה בזמן מאמץ.</x:v>
      </x:c>
      <x:c r="E11" s="65" t="str">
        <x:v>חיוני במקרה</x:v>
      </x:c>
      <x:c r="F11" s="65" t="str">
        <x:v>התסמין הדומיננטי נחוץ להבנת התמונה, לבטיחות, להערכת הסיכון או לתכנון הטיפול.</x:v>
      </x:c>
      <x:c r="G11" s="65" t="str">
        <x:v>מאושר</x:v>
      </x:c>
      <x:c r="H11" s="48" t="str">
        <x:v>לענות רק למה שנשאל; מותר לנסח באופן טבעי בלי להוסיף עובדות.</x:v>
      </x:c>
    </x:row>
    <x:row r="12">
      <x:c r="A12" s="47" t="str">
        <x:v>CASE-001-AN-008</x:v>
      </x:c>
      <x:c r="B12" s="65" t="str">
        <x:v>AN-008</x:v>
      </x:c>
      <x:c r="C12" s="65" t="str">
        <x:v>מדוע פנה דווקא עכשיו</x:v>
      </x:c>
      <x:c r="D12" s="65" t="str">
        <x:v>לא חל שינוי מיוחד. התופעה המשיכה להטריד אותי ולכן החלטתי לקבוע תור.</x:v>
      </x:c>
      <x:c r="E12" s="65" t="str">
        <x:v>משלים</x:v>
      </x:c>
      <x:c r="F12" s="65" t="str">
        <x:v>מדוע פנה דווקא עכשיו עשוי להשלים את התמונה בהתאם למסלול הבירור.</x:v>
      </x:c>
      <x:c r="G12" s="65" t="str">
        <x:v>מאושר</x:v>
      </x:c>
      <x:c r="H12" s="48" t="str">
        <x:v>לענות רק למה שנשאל; מותר לנסח באופן טבעי בלי להוסיף עובדות.</x:v>
      </x:c>
    </x:row>
    <x:row r="13">
      <x:c r="A13" s="47" t="str">
        <x:v>CASE-001-AN-009</x:v>
      </x:c>
      <x:c r="B13" s="65" t="str">
        <x:v>AN-009</x:v>
      </x:c>
      <x:c r="C13" s="65" t="str">
        <x:v>מועד תחילת התסמין</x:v>
      </x:c>
      <x:c r="D13" s="65" t="str">
        <x:v>שמתי לב לכך לראשונה לפני כחמישה חודשים.</x:v>
      </x:c>
      <x:c r="E13" s="65" t="str">
        <x:v>חשוב</x:v>
      </x:c>
      <x:c r="F13" s="65" t="str">
        <x:v>מועד תחילת התסמין עשוי לחזק את ההערכה ולשפר את התכנון הקליני.</x:v>
      </x:c>
      <x:c r="G13" s="65" t="str">
        <x:v>מאושר</x:v>
      </x:c>
      <x:c r="H13" s="48" t="str">
        <x:v>לענות רק למה שנשאל; מותר לנסח באופן טבעי בלי להוסיף עובדות.</x:v>
      </x:c>
    </x:row>
    <x:row r="14">
      <x:c r="A14" s="47" t="str">
        <x:v>CASE-001-AN-010</x:v>
      </x:c>
      <x:c r="B14" s="65" t="str">
        <x:v>AN-010</x:v>
      </x:c>
      <x:c r="C14" s="65" t="str">
        <x:v>התחלה פתאומית או הדרגתית</x:v>
      </x:c>
      <x:c r="D14" s="65" t="str">
        <x:v>לא היה אירוע פתאומי אחד. התחלתי לשים לב בהדרגה שהתחושה חוזרת במאמץ.</x:v>
      </x:c>
      <x:c r="E14" s="65" t="str">
        <x:v>משלים</x:v>
      </x:c>
      <x:c r="F14" s="65" t="str">
        <x:v>התחלה פתאומית או הדרגתית עשוי להשלים את התמונה בהתאם למסלול הבירור.</x:v>
      </x:c>
      <x:c r="G14" s="65" t="str">
        <x:v>מאושר</x:v>
      </x:c>
      <x:c r="H14" s="48" t="str">
        <x:v>לענות רק למה שנשאל; מותר לנסח באופן טבעי בלי להוסיף עובדות.</x:v>
      </x:c>
    </x:row>
    <x:row r="15">
      <x:c r="A15" s="47" t="str">
        <x:v>CASE-001-AN-011</x:v>
      </x:c>
      <x:c r="B15" s="65" t="str">
        <x:v>AN-011</x:v>
      </x:c>
      <x:c r="C15" s="65" t="str">
        <x:v>מיקום התסמין</x:v>
      </x:c>
      <x:c r="D15" s="65" t="str">
        <x:v>התחושה נמצאת במרכז החזה, מאחורי עצם החזה.</x:v>
      </x:c>
      <x:c r="E15" s="65" t="str">
        <x:v>חיוני במקרה</x:v>
      </x:c>
      <x:c r="F15" s="65" t="str">
        <x:v>מיקום התסמין נחוץ להבנת התמונה, לבטיחות, להערכת הסיכון או לתכנון הטיפול.</x:v>
      </x:c>
      <x:c r="G15" s="65" t="str">
        <x:v>מאושר</x:v>
      </x:c>
      <x:c r="H15" s="48" t="str">
        <x:v>לענות רק למה שנשאל; מותר לנסח באופן טבעי בלי להוסיף עובדות.</x:v>
      </x:c>
    </x:row>
    <x:row r="16">
      <x:c r="A16" s="47" t="str">
        <x:v>CASE-001-AN-012</x:v>
      </x:c>
      <x:c r="B16" s="65" t="str">
        <x:v>AN-012</x:v>
      </x:c>
      <x:c r="C16" s="65" t="str">
        <x:v>הקרנה</x:v>
      </x:c>
      <x:c r="D16" s="65" t="str">
        <x:v>לפעמים היא מתפשטת לכתף שמאל ולחלק הפנימי של הזרוע השמאלית.</x:v>
      </x:c>
      <x:c r="E16" s="65" t="str">
        <x:v>חשוב</x:v>
      </x:c>
      <x:c r="F16" s="65" t="str">
        <x:v>הקרנה עשוי לחזק את ההערכה ולשפר את התכנון הקליני.</x:v>
      </x:c>
      <x:c r="G16" s="65" t="str">
        <x:v>מאושר</x:v>
      </x:c>
      <x:c r="H16" s="48" t="str">
        <x:v>לענות רק למה שנשאל; מותר לנסח באופן טבעי בלי להוסיף עובדות.</x:v>
      </x:c>
    </x:row>
    <x:row r="17">
      <x:c r="A17" s="47" t="str">
        <x:v>CASE-001-AN-013</x:v>
      </x:c>
      <x:c r="B17" s="65" t="str">
        <x:v>AN-013</x:v>
      </x:c>
      <x:c r="C17" s="65" t="str">
        <x:v>איכות התחושה</x:v>
      </x:c>
      <x:c r="D17" s="65" t="str">
        <x:v>זו תחושת לחץ או כובד, לא דקירה.</x:v>
      </x:c>
      <x:c r="E17" s="65" t="str">
        <x:v>חיוני במקרה</x:v>
      </x:c>
      <x:c r="F17" s="65" t="str">
        <x:v>איכות התחושה נחוץ להבנת התמונה, לבטיחות, להערכת הסיכון או לתכנון הטיפול.</x:v>
      </x:c>
      <x:c r="G17" s="65" t="str">
        <x:v>מאושר</x:v>
      </x:c>
      <x:c r="H17" s="48" t="str">
        <x:v>לענות רק למה שנשאל; מותר לנסח באופן טבעי בלי להוסיף עובדות.</x:v>
      </x:c>
    </x:row>
    <x:row r="18">
      <x:c r="A18" s="47" t="str">
        <x:v>CASE-001-AN-014</x:v>
      </x:c>
      <x:c r="B18" s="65" t="str">
        <x:v>AN-014</x:v>
      </x:c>
      <x:c r="C18" s="65" t="str">
        <x:v>עוצמת התסמין</x:v>
      </x:c>
      <x:c r="D18" s="65" t="str">
        <x:v>בערך 5 עד 6 מתוך 10.</x:v>
      </x:c>
      <x:c r="E18" s="65" t="str">
        <x:v>משלים</x:v>
      </x:c>
      <x:c r="F18" s="65" t="str">
        <x:v>עוצמת התסמין עשוי להשלים את התמונה בהתאם למסלול הבירור.</x:v>
      </x:c>
      <x:c r="G18" s="65" t="str">
        <x:v>מאושר</x:v>
      </x:c>
      <x:c r="H18" s="48" t="str">
        <x:v>לענות רק למה שנשאל; מותר לנסח באופן טבעי בלי להוסיף עובדות.</x:v>
      </x:c>
    </x:row>
    <x:row r="19">
      <x:c r="A19" s="47" t="str">
        <x:v>CASE-001-AN-015</x:v>
      </x:c>
      <x:c r="B19" s="65" t="str">
        <x:v>AN-015</x:v>
      </x:c>
      <x:c r="C19" s="65" t="str">
        <x:v>משך כל אירוע</x:v>
      </x:c>
      <x:c r="D19" s="65" t="str">
        <x:v>כל אירוע נמשך בדרך כלל בין ארבע לשבע דקות.</x:v>
      </x:c>
      <x:c r="E19" s="65" t="str">
        <x:v>חיוני במקרה</x:v>
      </x:c>
      <x:c r="F19" s="65" t="str">
        <x:v>משך כל אירוע נחוץ להבנת התמונה, לבטיחות, להערכת הסיכון או לתכנון הטיפול.</x:v>
      </x:c>
      <x:c r="G19" s="65" t="str">
        <x:v>מאושר</x:v>
      </x:c>
      <x:c r="H19" s="48" t="str">
        <x:v>לענות רק למה שנשאל; מותר לנסח באופן טבעי בלי להוסיף עובדות.</x:v>
      </x:c>
    </x:row>
    <x:row r="20">
      <x:c r="A20" s="47" t="str">
        <x:v>CASE-001-AN-016</x:v>
      </x:c>
      <x:c r="B20" s="65" t="str">
        <x:v>AN-016</x:v>
      </x:c>
      <x:c r="C20" s="65" t="str">
        <x:v>תדירות</x:v>
      </x:c>
      <x:c r="D20" s="65" t="str">
        <x:v>בערך פעמיים עד שלוש בשבוע, תלוי כמה אני מתאמץ.</x:v>
      </x:c>
      <x:c r="E20" s="65" t="str">
        <x:v>חשוב</x:v>
      </x:c>
      <x:c r="F20" s="65" t="str">
        <x:v>תדירות עשוי לחזק את ההערכה ולשפר את התכנון הקליני.</x:v>
      </x:c>
      <x:c r="G20" s="65" t="str">
        <x:v>מאושר</x:v>
      </x:c>
      <x:c r="H20" s="48" t="str">
        <x:v>לענות רק למה שנשאל; מותר לנסח באופן טבעי בלי להוסיף עובדות.</x:v>
      </x:c>
    </x:row>
    <x:row r="21">
      <x:c r="A21" s="47" t="str">
        <x:v>CASE-001-AN-017</x:v>
      </x:c>
      <x:c r="B21" s="65" t="str">
        <x:v>AN-017</x:v>
      </x:c>
      <x:c r="C21" s="65" t="str">
        <x:v>רציף או התקפי</x:v>
      </x:c>
      <x:c r="D21" s="65" t="str">
        <x:v>זה מופיע בהתקפים וחולף לחלוטין ביניהם.</x:v>
      </x:c>
      <x:c r="E21" s="65" t="str">
        <x:v>משלים</x:v>
      </x:c>
      <x:c r="F21" s="65" t="str">
        <x:v>רציף או התקפי עשוי להשלים את התמונה בהתאם למסלול הבירור.</x:v>
      </x:c>
      <x:c r="G21" s="65" t="str">
        <x:v>מאושר</x:v>
      </x:c>
      <x:c r="H21" s="48" t="str">
        <x:v>לענות רק למה שנשאל; מותר לנסח באופן טבעי בלי להוסיף עובדות.</x:v>
      </x:c>
    </x:row>
    <x:row r="22">
      <x:c r="A22" s="47" t="str">
        <x:v>CASE-001-AN-018</x:v>
      </x:c>
      <x:c r="B22" s="65" t="str">
        <x:v>AN-018</x:v>
      </x:c>
      <x:c r="C22" s="65" t="str">
        <x:v>קשר למאמץ</x:v>
      </x:c>
      <x:c r="D22" s="65" t="str">
        <x:v>כן. זה מופיע בדרך כלל אחרי שמונה עד עשר דקות של הליכה מהירה, בעלייה של כשתי קומות או כשאני נושא משהו כבד.</x:v>
      </x:c>
      <x:c r="E22" s="65" t="str">
        <x:v>חיוני במקרה</x:v>
      </x:c>
      <x:c r="F22" s="65" t="str">
        <x:v>הקשר הצפוי למאמץ הוא רמז מרכזי לתעוקה יציבה.</x:v>
      </x:c>
      <x:c r="G22" s="65" t="str">
        <x:v>מאושר</x:v>
      </x:c>
      <x:c r="H22" s="48" t="str">
        <x:v>לענות רק למה שנשאל; מותר לנסח באופן טבעי בלי להוסיף עובדות.</x:v>
      </x:c>
    </x:row>
    <x:row r="23">
      <x:c r="A23" s="47" t="str">
        <x:v>CASE-001-AN-019</x:v>
      </x:c>
      <x:c r="B23" s="65" t="str">
        <x:v>AN-019</x:v>
      </x:c>
      <x:c r="C23" s="65" t="str">
        <x:v>קשר למתח או התרגשות</x:v>
      </x:c>
      <x:c r="D23" s="65" t="str">
        <x:v>לפעמים כשאני ממהר או לחוץ תוך כדי מאמץ זה מופיע, אבל מתח לבדו במנוחה לא גרם לכך.</x:v>
      </x:c>
      <x:c r="E23" s="65" t="str">
        <x:v>משלים</x:v>
      </x:c>
      <x:c r="F23" s="65" t="str">
        <x:v>קשר למתח או התרגשות עשוי להשלים את התמונה בהתאם למסלול הבירור.</x:v>
      </x:c>
      <x:c r="G23" s="65" t="str">
        <x:v>מאושר</x:v>
      </x:c>
      <x:c r="H23" s="48" t="str">
        <x:v>לענות רק למה שנשאל; מותר לנסח באופן טבעי בלי להוסיף עובדות.</x:v>
      </x:c>
    </x:row>
    <x:row r="24">
      <x:c r="A24" s="47" t="str">
        <x:v>CASE-001-AN-020</x:v>
      </x:c>
      <x:c r="B24" s="65" t="str">
        <x:v>AN-020</x:v>
      </x:c>
      <x:c r="C24" s="65" t="str">
        <x:v>קשר לארוחה דשנה</x:v>
      </x:c>
      <x:c r="D24" s="65" t="str">
        <x:v>לא שמתי לב לקשר לארוחה גדולה.</x:v>
      </x:c>
      <x:c r="E24" s="65" t="str">
        <x:v>משלים</x:v>
      </x:c>
      <x:c r="F24" s="65" t="str">
        <x:v>קשר לארוחה דשנה עשוי להשלים את התמונה בהתאם למסלול הבירור.</x:v>
      </x:c>
      <x:c r="G24" s="65" t="str">
        <x:v>מאושר</x:v>
      </x:c>
      <x:c r="H24" s="48" t="str">
        <x:v>לענות רק למה שנשאל; מותר לנסח באופן טבעי בלי להוסיף עובדות.</x:v>
      </x:c>
    </x:row>
    <x:row r="25">
      <x:c r="A25" s="47" t="str">
        <x:v>CASE-001-AN-021</x:v>
      </x:c>
      <x:c r="B25" s="65" t="str">
        <x:v>AN-021</x:v>
      </x:c>
      <x:c r="C25" s="65" t="str">
        <x:v>השפעת מנוחה</x:v>
      </x:c>
      <x:c r="D25" s="65" t="str">
        <x:v>כשאני עוצר ונח, התחושה חולפת לגמרי בתוך כמה דקות.</x:v>
      </x:c>
      <x:c r="E25" s="65" t="str">
        <x:v>חיוני במקרה</x:v>
      </x:c>
      <x:c r="F25" s="65" t="str">
        <x:v>חלוף מלא במנוחה תומך באיסכמיה חולפת.</x:v>
      </x:c>
      <x:c r="G25" s="65" t="str">
        <x:v>מאושר</x:v>
      </x:c>
      <x:c r="H25" s="48" t="str">
        <x:v>לענות רק למה שנשאל; מותר לנסח באופן טבעי בלי להוסיף עובדות.</x:v>
      </x:c>
    </x:row>
    <x:row r="26">
      <x:c r="A26" s="47" t="str">
        <x:v>CASE-001-AN-022</x:v>
      </x:c>
      <x:c r="B26" s="65" t="str">
        <x:v>AN-022</x:v>
      </x:c>
      <x:c r="C26" s="65" t="str">
        <x:v>השפעת ניטרוגליצרין או טיפול קודם</x:v>
      </x:c>
      <x:c r="D26" s="65" t="str">
        <x:v>מעולם לא קיבלתי ולא ניסיתי ניטרוגליצרין.</x:v>
      </x:c>
      <x:c r="E26" s="65" t="str">
        <x:v>משלים</x:v>
      </x:c>
      <x:c r="F26" s="65" t="str">
        <x:v>השפעת ניטרוגליצרין או טיפול קודם עשוי להשלים את התמונה בהתאם למסלול הבירור.</x:v>
      </x:c>
      <x:c r="G26" s="65" t="str">
        <x:v>מאושר</x:v>
      </x:c>
      <x:c r="H26" s="48" t="str">
        <x:v>לענות רק למה שנשאל; מותר לנסח באופן טבעי בלי להוסיף עובדות.</x:v>
      </x:c>
    </x:row>
    <x:row r="27">
      <x:c r="A27" s="47" t="str">
        <x:v>CASE-001-AN-023</x:v>
      </x:c>
      <x:c r="B27" s="65" t="str">
        <x:v>AN-023</x:v>
      </x:c>
      <x:c r="C27" s="65" t="str">
        <x:v>שינוי מאז תחילת האירוע</x:v>
      </x:c>
      <x:c r="D27" s="65" t="str">
        <x:v>לא חל שינוי משמעותי מאז שהתחיל. הדפוס נשאר דומה.</x:v>
      </x:c>
      <x:c r="E27" s="65" t="str">
        <x:v>חשוב</x:v>
      </x:c>
      <x:c r="F27" s="65" t="str">
        <x:v>שינוי מאז תחילת האירוע עשוי לחזק את ההערכה ולשפר את התכנון הקליני.</x:v>
      </x:c>
      <x:c r="G27" s="65" t="str">
        <x:v>מאושר</x:v>
      </x:c>
      <x:c r="H27" s="48" t="str">
        <x:v>לענות רק למה שנשאל; מותר לנסח באופן טבעי בלי להוסיף עובדות.</x:v>
      </x:c>
    </x:row>
    <x:row r="28">
      <x:c r="A28" s="47" t="str">
        <x:v>CASE-001-AN-024</x:v>
      </x:c>
      <x:c r="B28" s="65" t="str">
        <x:v>AN-024</x:v>
      </x:c>
      <x:c r="C28" s="65" t="str">
        <x:v>האם היו אירועים דומים</x:v>
      </x:c>
      <x:c r="D28" s="65" t="str">
        <x:v>כן, היו אירועים דומים פעמים רבות בחודשים האחרונים.</x:v>
      </x:c>
      <x:c r="E28" s="65" t="str">
        <x:v>חשוב</x:v>
      </x:c>
      <x:c r="F28" s="65" t="str">
        <x:v>האם היו אירועים דומים עשוי לחזק את ההערכה ולשפר את התכנון הקליני.</x:v>
      </x:c>
      <x:c r="G28" s="65" t="str">
        <x:v>מאושר</x:v>
      </x:c>
      <x:c r="H28" s="48" t="str">
        <x:v>לענות רק למה שנשאל; מותר לנסח באופן טבעי בלי להוסיף עובדות.</x:v>
      </x:c>
    </x:row>
    <x:row r="29">
      <x:c r="A29" s="47" t="str">
        <x:v>CASE-001-AN-025</x:v>
      </x:c>
      <x:c r="B29" s="65" t="str">
        <x:v>AN-025</x:v>
      </x:c>
      <x:c r="C29" s="65" t="str">
        <x:v>דמיון לאירועים קודמים</x:v>
      </x:c>
      <x:c r="D29" s="65" t="str">
        <x:v>האירועים דומים זה לזה באופי, במשך ובמאמץ שגורם להם.</x:v>
      </x:c>
      <x:c r="E29" s="65" t="str">
        <x:v>משלים</x:v>
      </x:c>
      <x:c r="F29" s="65" t="str">
        <x:v>דמיון לאירועים קודמים עשוי להשלים את התמונה בהתאם למסלול הבירור.</x:v>
      </x:c>
      <x:c r="G29" s="65" t="str">
        <x:v>מאושר</x:v>
      </x:c>
      <x:c r="H29" s="48" t="str">
        <x:v>לענות רק למה שנשאל; מותר לנסח באופן טבעי בלי להוסיף עובדות.</x:v>
      </x:c>
    </x:row>
    <x:row r="30">
      <x:c r="A30" s="47" t="str">
        <x:v>CASE-001-AN-026</x:v>
      </x:c>
      <x:c r="B30" s="65" t="str">
        <x:v>AN-026</x:v>
      </x:c>
      <x:c r="C30" s="65" t="str">
        <x:v>שינוי בעוצמה, במשך או בתדירות</x:v>
      </x:c>
      <x:c r="D30" s="65" t="str">
        <x:v>אין עלייה בעוצמה, במשך או בתדירות.</x:v>
      </x:c>
      <x:c r="E30" s="65" t="str">
        <x:v>חיוני במקרה</x:v>
      </x:c>
      <x:c r="F30" s="65" t="str">
        <x:v>היעדר החמרה מסייע להבחין מתעוקה לא יציבה.</x:v>
      </x:c>
      <x:c r="G30" s="65" t="str">
        <x:v>מאושר</x:v>
      </x:c>
      <x:c r="H30" s="48" t="str">
        <x:v>לענות רק למה שנשאל; מותר לנסח באופן טבעי בלי להוסיף עובדות.</x:v>
      </x:c>
    </x:row>
    <x:row r="31">
      <x:c r="A31" s="47" t="str">
        <x:v>CASE-001-AN-027</x:v>
      </x:c>
      <x:c r="B31" s="65" t="str">
        <x:v>AN-027</x:v>
      </x:c>
      <x:c r="C31" s="65" t="str">
        <x:v>הופעה במאמץ קל יותר או במנוחה</x:v>
      </x:c>
      <x:c r="D31" s="65" t="str">
        <x:v>לא. זה לא התחיל להופיע במאמץ קל יותר, במנוחה או בשינה.</x:v>
      </x:c>
      <x:c r="E31" s="65" t="str">
        <x:v>חיוני במקרה</x:v>
      </x:c>
      <x:c r="F31" s="65" t="str">
        <x:v>חשוב לברר הופעה במנוחה או ירידה בסף המאמץ מטעמי בטיחות.</x:v>
      </x:c>
      <x:c r="G31" s="65" t="str">
        <x:v>מאושר</x:v>
      </x:c>
      <x:c r="H31" s="48" t="str">
        <x:v>לענות רק למה שנשאל; מותר לנסח באופן טבעי בלי להוסיף עובדות.</x:v>
      </x:c>
    </x:row>
    <x:row r="32">
      <x:c r="A32" s="47" t="str">
        <x:v>CASE-001-AN-028</x:v>
      </x:c>
      <x:c r="B32" s="65" t="str">
        <x:v>AN-028</x:v>
      </x:c>
      <x:c r="C32" s="65" t="str">
        <x:v>קוצר נשימה</x:v>
      </x:c>
      <x:c r="D32" s="65" t="str">
        <x:v>לפעמים יש קוצר נשימה קל יחד עם הלחץ בחזה, והוא חולף כשהלחץ חולף.</x:v>
      </x:c>
      <x:c r="E32" s="65" t="str">
        <x:v>חשוב</x:v>
      </x:c>
      <x:c r="F32" s="65" t="str">
        <x:v>קוצר נשימה עשוי לחזק את ההערכה ולשפר את התכנון הקליני.</x:v>
      </x:c>
      <x:c r="G32" s="65" t="str">
        <x:v>מאושר</x:v>
      </x:c>
      <x:c r="H32" s="48" t="str">
        <x:v>לענות רק למה שנשאל; מותר לנסח באופן טבעי בלי להוסיף עובדות.</x:v>
      </x:c>
    </x:row>
    <x:row r="33">
      <x:c r="A33" s="47" t="str">
        <x:v>CASE-001-AN-029</x:v>
      </x:c>
      <x:c r="B33" s="65" t="str">
        <x:v>AN-029</x:v>
      </x:c>
      <x:c r="C33" s="65" t="str">
        <x:v>קוצר נשימה במאמץ</x:v>
      </x:c>
      <x:c r="D33" s="65" t="str">
        <x:v>קוצר הנשימה מופיע רק בזמן המאמץ שמעורר את הלחץ, לא בפעילות קלה.</x:v>
      </x:c>
      <x:c r="E33" s="65" t="str">
        <x:v>חשוב</x:v>
      </x:c>
      <x:c r="F33" s="65" t="str">
        <x:v>קוצר נשימה במאמץ עשוי לחזק את ההערכה ולשפר את התכנון הקליני.</x:v>
      </x:c>
      <x:c r="G33" s="65" t="str">
        <x:v>מאושר</x:v>
      </x:c>
      <x:c r="H33" s="48" t="str">
        <x:v>לענות רק למה שנשאל; מותר לנסח באופן טבעי בלי להוסיף עובדות.</x:v>
      </x:c>
    </x:row>
    <x:row r="34">
      <x:c r="A34" s="47" t="str">
        <x:v>CASE-001-AN-030</x:v>
      </x:c>
      <x:c r="B34" s="65" t="str">
        <x:v>AN-030</x:v>
      </x:c>
      <x:c r="C34" s="65" t="str">
        <x:v>קוצר נשימה בשכיבה</x:v>
      </x:c>
      <x:c r="D34" s="65" t="str">
        <x:v>אין לי קוצר נשימה בשכיבה ואיני זקוק ליותר כריות.</x:v>
      </x:c>
      <x:c r="E34" s="65" t="str">
        <x:v>משלים</x:v>
      </x:c>
      <x:c r="F34" s="65" t="str">
        <x:v>קוצר נשימה בשכיבה עשוי להשלים את התמונה בהתאם למסלול הבירור.</x:v>
      </x:c>
      <x:c r="G34" s="65" t="str">
        <x:v>מאושר</x:v>
      </x:c>
      <x:c r="H34" s="48" t="str">
        <x:v>לענות רק למה שנשאל; מותר לנסח באופן טבעי בלי להוסיף עובדות.</x:v>
      </x:c>
    </x:row>
    <x:row r="35">
      <x:c r="A35" s="47" t="str">
        <x:v>CASE-001-AN-031</x:v>
      </x:c>
      <x:c r="B35" s="65" t="str">
        <x:v>AN-031</x:v>
      </x:c>
      <x:c r="C35" s="65" t="str">
        <x:v>התעוררות לילית מקוצר נשימה</x:v>
      </x:c>
      <x:c r="D35" s="65" t="str">
        <x:v>איני מתעורר בלילה בגלל קוצר נשימה.</x:v>
      </x:c>
      <x:c r="E35" s="65" t="str">
        <x:v>משלים</x:v>
      </x:c>
      <x:c r="F35" s="65" t="str">
        <x:v>התעוררות לילית מקוצר נשימה עשוי להשלים את התמונה בהתאם למסלול הבירור.</x:v>
      </x:c>
      <x:c r="G35" s="65" t="str">
        <x:v>מאושר</x:v>
      </x:c>
      <x:c r="H35" s="48" t="str">
        <x:v>לענות רק למה שנשאל; מותר לנסח באופן טבעי בלי להוסיף עובדות.</x:v>
      </x:c>
    </x:row>
    <x:row r="36">
      <x:c r="A36" s="47" t="str">
        <x:v>CASE-001-AN-032</x:v>
      </x:c>
      <x:c r="B36" s="65" t="str">
        <x:v>AN-032</x:v>
      </x:c>
      <x:c r="C36" s="65" t="str">
        <x:v>עייפות וחולשה</x:v>
      </x:c>
      <x:c r="D36" s="65" t="str">
        <x:v>אין עייפות חריגה או חולשה קיצונית.</x:v>
      </x:c>
      <x:c r="E36" s="65" t="str">
        <x:v>משלים</x:v>
      </x:c>
      <x:c r="F36" s="65" t="str">
        <x:v>עייפות וחולשה עשוי להשלים את התמונה בהתאם למסלול הבירור.</x:v>
      </x:c>
      <x:c r="G36" s="65" t="str">
        <x:v>מאושר</x:v>
      </x:c>
      <x:c r="H36" s="48" t="str">
        <x:v>לענות רק למה שנשאל; מותר לנסח באופן טבעי בלי להוסיף עובדות.</x:v>
      </x:c>
    </x:row>
    <x:row r="37">
      <x:c r="A37" s="47" t="str">
        <x:v>CASE-001-AN-033</x:v>
      </x:c>
      <x:c r="B37" s="65" t="str">
        <x:v>AN-033</x:v>
      </x:c>
      <x:c r="C37" s="65" t="str">
        <x:v>הזעה</x:v>
      </x:c>
      <x:c r="D37" s="65" t="str">
        <x:v>אין זיעה קרה בזמן האירועים.</x:v>
      </x:c>
      <x:c r="E37" s="65" t="str">
        <x:v>חשוב</x:v>
      </x:c>
      <x:c r="F37" s="65" t="str">
        <x:v>הזעה עשוי לחזק את ההערכה ולשפר את התכנון הקליני.</x:v>
      </x:c>
      <x:c r="G37" s="65" t="str">
        <x:v>מאושר</x:v>
      </x:c>
      <x:c r="H37" s="48" t="str">
        <x:v>לענות רק למה שנשאל; מותר לנסח באופן טבעי בלי להוסיף עובדות.</x:v>
      </x:c>
    </x:row>
    <x:row r="38">
      <x:c r="A38" s="47" t="str">
        <x:v>CASE-001-AN-034</x:v>
      </x:c>
      <x:c r="B38" s="65" t="str">
        <x:v>AN-034</x:v>
      </x:c>
      <x:c r="C38" s="65" t="str">
        <x:v>בחילה או הקאה</x:v>
      </x:c>
      <x:c r="D38" s="65" t="str">
        <x:v>אין בחילה או הקאה.</x:v>
      </x:c>
      <x:c r="E38" s="65" t="str">
        <x:v>חשוב</x:v>
      </x:c>
      <x:c r="F38" s="65" t="str">
        <x:v>בחילה או הקאה עשוי לחזק את ההערכה ולשפר את התכנון הקליני.</x:v>
      </x:c>
      <x:c r="G38" s="65" t="str">
        <x:v>מאושר</x:v>
      </x:c>
      <x:c r="H38" s="48" t="str">
        <x:v>לענות רק למה שנשאל; מותר לנסח באופן טבעי בלי להוסיף עובדות.</x:v>
      </x:c>
    </x:row>
    <x:row r="39">
      <x:c r="A39" s="47" t="str">
        <x:v>CASE-001-AN-035</x:v>
      </x:c>
      <x:c r="B39" s="65" t="str">
        <x:v>AN-035</x:v>
      </x:c>
      <x:c r="C39" s="65" t="str">
        <x:v>סחרחורת או תחושת עילפון</x:v>
      </x:c>
      <x:c r="D39" s="65" t="str">
        <x:v>אין סחרחורת, תחושת עילפון או עילפון.</x:v>
      </x:c>
      <x:c r="E39" s="65" t="str">
        <x:v>חשוב</x:v>
      </x:c>
      <x:c r="F39" s="65" t="str">
        <x:v>סחרחורת או תחושת עילפון עשוי לחזק את ההערכה ולשפר את התכנון הקליני.</x:v>
      </x:c>
      <x:c r="G39" s="65" t="str">
        <x:v>מאושר</x:v>
      </x:c>
      <x:c r="H39" s="48" t="str">
        <x:v>לענות רק למה שנשאל; מותר לנסח באופן טבעי בלי להוסיף עובדות.</x:v>
      </x:c>
    </x:row>
    <x:row r="40">
      <x:c r="A40" s="47" t="str">
        <x:v>CASE-001-AN-036</x:v>
      </x:c>
      <x:c r="B40" s="65" t="str">
        <x:v>AN-036</x:v>
      </x:c>
      <x:c r="C40" s="65" t="str">
        <x:v>דפיקות לב</x:v>
      </x:c>
      <x:c r="D40" s="65" t="str">
        <x:v>איני מרגיש דפיקות לב.</x:v>
      </x:c>
      <x:c r="E40" s="65" t="str">
        <x:v>משלים</x:v>
      </x:c>
      <x:c r="F40" s="65" t="str">
        <x:v>דפיקות לב עשוי להשלים את התמונה בהתאם למסלול הבירור.</x:v>
      </x:c>
      <x:c r="G40" s="65" t="str">
        <x:v>מאושר</x:v>
      </x:c>
      <x:c r="H40" s="48" t="str">
        <x:v>לענות רק למה שנשאל; מותר לנסח באופן טבעי בלי להוסיף עובדות.</x:v>
      </x:c>
    </x:row>
    <x:row r="41">
      <x:c r="A41" s="47" t="str">
        <x:v>CASE-001-AN-037</x:v>
      </x:c>
      <x:c r="B41" s="65" t="str">
        <x:v>AN-037</x:v>
      </x:c>
      <x:c r="C41" s="65" t="str">
        <x:v>חרדה או אי-שקט</x:v>
      </x:c>
      <x:c r="D41" s="65" t="str">
        <x:v>אני מודאג מהתופעה, אבל בזמן האירועים איני נכנס לחרדה או לאי-שקט חריג.</x:v>
      </x:c>
      <x:c r="E41" s="65" t="str">
        <x:v>משלים</x:v>
      </x:c>
      <x:c r="F41" s="65" t="str">
        <x:v>חרדה או אי-שקט עשוי להשלים את התמונה בהתאם למסלול הבירור.</x:v>
      </x:c>
      <x:c r="G41" s="65" t="str">
        <x:v>מאושר</x:v>
      </x:c>
      <x:c r="H41" s="48" t="str">
        <x:v>לענות רק למה שנשאל; מותר לנסח באופן טבעי בלי להוסיף עובדות.</x:v>
      </x:c>
    </x:row>
    <x:row r="42">
      <x:c r="A42" s="47" t="str">
        <x:v>CASE-001-AN-038</x:v>
      </x:c>
      <x:c r="B42" s="65" t="str">
        <x:v>AN-038</x:v>
      </x:c>
      <x:c r="C42" s="65" t="str">
        <x:v>שיעול</x:v>
      </x:c>
      <x:c r="D42" s="65" t="str">
        <x:v>אין שיעול.</x:v>
      </x:c>
      <x:c r="E42" s="65" t="str">
        <x:v>משלים</x:v>
      </x:c>
      <x:c r="F42" s="65" t="str">
        <x:v>שיעול עשוי להשלים את התמונה בהתאם למסלול הבירור.</x:v>
      </x:c>
      <x:c r="G42" s="65" t="str">
        <x:v>מאושר</x:v>
      </x:c>
      <x:c r="H42" s="48" t="str">
        <x:v>לענות רק למה שנשאל; מותר לנסח באופן טבעי בלי להוסיף עובדות.</x:v>
      </x:c>
    </x:row>
    <x:row r="43">
      <x:c r="A43" s="47" t="str">
        <x:v>CASE-001-AN-039</x:v>
      </x:c>
      <x:c r="B43" s="65" t="str">
        <x:v>AN-039</x:v>
      </x:c>
      <x:c r="C43" s="65" t="str">
        <x:v>בצקות ברגליים</x:v>
      </x:c>
      <x:c r="D43" s="65" t="str">
        <x:v>לא שמתי לב לנפיחות או בצקות ברגליים.</x:v>
      </x:c>
      <x:c r="E43" s="65" t="str">
        <x:v>חשוב</x:v>
      </x:c>
      <x:c r="F43" s="65" t="str">
        <x:v>בצקות ברגליים עשוי לחזק את ההערכה ולשפר את התכנון הקליני.</x:v>
      </x:c>
      <x:c r="G43" s="65" t="str">
        <x:v>מאושר</x:v>
      </x:c>
      <x:c r="H43" s="48" t="str">
        <x:v>לענות רק למה שנשאל; מותר לנסח באופן טבעי בלי להוסיף עובדות.</x:v>
      </x:c>
    </x:row>
    <x:row r="44">
      <x:c r="A44" s="47" t="str">
        <x:v>CASE-001-AN-040</x:v>
      </x:c>
      <x:c r="B44" s="65" t="str">
        <x:v>AN-040</x:v>
      </x:c>
      <x:c r="C44" s="65" t="str">
        <x:v>נפיחות בטנית</x:v>
      </x:c>
      <x:c r="D44" s="65" t="str">
        <x:v>אין נפיחות בטנית.</x:v>
      </x:c>
      <x:c r="E44" s="65" t="str">
        <x:v>משלים</x:v>
      </x:c>
      <x:c r="F44" s="65" t="str">
        <x:v>נפיחות בטנית עשוי להשלים את התמונה בהתאם למסלול הבירור.</x:v>
      </x:c>
      <x:c r="G44" s="65" t="str">
        <x:v>מאושר</x:v>
      </x:c>
      <x:c r="H44" s="48" t="str">
        <x:v>לענות רק למה שנשאל; מותר לנסח באופן טבעי בלי להוסיף עובדות.</x:v>
      </x:c>
    </x:row>
    <x:row r="45">
      <x:c r="A45" s="47" t="str">
        <x:v>CASE-001-AN-041</x:v>
      </x:c>
      <x:c r="B45" s="65" t="str">
        <x:v>AN-041</x:v>
      </x:c>
      <x:c r="C45" s="65" t="str">
        <x:v>מתן שתן בלילה</x:v>
      </x:c>
      <x:c r="D45" s="65" t="str">
        <x:v>אין שינוי חריג במתן שתן בלילה.</x:v>
      </x:c>
      <x:c r="E45" s="65" t="str">
        <x:v>בדרך כלל לא מרכזי</x:v>
      </x:c>
      <x:c r="F45" s="65" t="str">
        <x:v>מתן שתן בלילה לגיטימי, אך תרומתו נמוכה במקרה זה ללא רמז מכוון.</x:v>
      </x:c>
      <x:c r="G45" s="65" t="str">
        <x:v>מאושר</x:v>
      </x:c>
      <x:c r="H45" s="48" t="str">
        <x:v>לענות רק למה שנשאל; מותר לנסח באופן טבעי בלי להוסיף עובדות.</x:v>
      </x:c>
    </x:row>
    <x:row r="46">
      <x:c r="A46" s="47" t="str">
        <x:v>CASE-001-AN-042</x:v>
      </x:c>
      <x:c r="B46" s="65" t="str">
        <x:v>AN-042</x:v>
      </x:c>
      <x:c r="C46" s="65" t="str">
        <x:v>בלבול או שינוי בערנות</x:v>
      </x:c>
      <x:c r="D46" s="65" t="str">
        <x:v>לא היה בלבול או שינוי בערנות.</x:v>
      </x:c>
      <x:c r="E46" s="65" t="str">
        <x:v>משלים</x:v>
      </x:c>
      <x:c r="F46" s="65" t="str">
        <x:v>בלבול או שינוי בערנות עשוי להשלים את התמונה בהתאם למסלול הבירור.</x:v>
      </x:c>
      <x:c r="G46" s="65" t="str">
        <x:v>מאושר</x:v>
      </x:c>
      <x:c r="H46" s="48" t="str">
        <x:v>לענות רק למה שנשאל; מותר לנסח באופן טבעי בלי להוסיף עובדות.</x:v>
      </x:c>
    </x:row>
    <x:row r="47">
      <x:c r="A47" s="47" t="str">
        <x:v>CASE-001-AN-043</x:v>
      </x:c>
      <x:c r="B47" s="65" t="str">
        <x:v>AN-043</x:v>
      </x:c>
      <x:c r="C47" s="65" t="str">
        <x:v>יכולת תפקודית רגילה</x:v>
      </x:c>
      <x:c r="D47" s="65" t="str">
        <x:v>אני עצמאי בכל הפעולות היומיומיות, אבל מאט את ההליכה ונמנע ממדרגות, נשיאת משאות וגינון.</x:v>
      </x:c>
      <x:c r="E47" s="65" t="str">
        <x:v>חשוב</x:v>
      </x:c>
      <x:c r="F47" s="65" t="str">
        <x:v>יכולת תפקודית רגילה עשוי לחזק את ההערכה ולשפר את התכנון הקליני.</x:v>
      </x:c>
      <x:c r="G47" s="65" t="str">
        <x:v>מאושר</x:v>
      </x:c>
      <x:c r="H47" s="48" t="str">
        <x:v>לענות רק למה שנשאל; מותר לנסח באופן טבעי בלי להוסיף עובדות.</x:v>
      </x:c>
    </x:row>
    <x:row r="48">
      <x:c r="A48" s="47" t="str">
        <x:v>CASE-001-AN-044</x:v>
      </x:c>
      <x:c r="B48" s="65" t="str">
        <x:v>AN-044</x:v>
      </x:c>
      <x:c r="C48" s="65" t="str">
        <x:v>שינוי ביכולת המאמץ</x:v>
      </x:c>
      <x:c r="D48" s="65" t="str">
        <x:v>אני מסוגל לבצע פעילות קלה, אך מאמץ בינוני וקבוע מעורר את התסמין ולכן אני מגביל את עצמי.</x:v>
      </x:c>
      <x:c r="E48" s="65" t="str">
        <x:v>חשוב</x:v>
      </x:c>
      <x:c r="F48" s="65" t="str">
        <x:v>שינוי ביכולת המאמץ עשוי לחזק את ההערכה ולשפר את התכנון הקליני.</x:v>
      </x:c>
      <x:c r="G48" s="65" t="str">
        <x:v>מאושר</x:v>
      </x:c>
      <x:c r="H48" s="48" t="str">
        <x:v>לענות רק למה שנשאל; מותר לנסח באופן טבעי בלי להוסיף עובדות.</x:v>
      </x:c>
    </x:row>
    <x:row r="49">
      <x:c r="A49" s="47" t="str">
        <x:v>CASE-001-AN-045</x:v>
      </x:c>
      <x:c r="B49" s="65" t="str">
        <x:v>AN-045</x:v>
      </x:c>
      <x:c r="C49" s="65" t="str">
        <x:v>תסמינים בפעולות יום-יומיות או במנוחה</x:v>
      </x:c>
      <x:c r="D49" s="65" t="str">
        <x:v>אין תסמינים בפעילות יומיומית קלה או במנוחה.</x:v>
      </x:c>
      <x:c r="E49" s="65" t="str">
        <x:v>חשוב</x:v>
      </x:c>
      <x:c r="F49" s="65" t="str">
        <x:v>תסמינים בפעולות יום-יומיות או במנוחה עשוי לחזק את ההערכה ולשפר את התכנון הקליני.</x:v>
      </x:c>
      <x:c r="G49" s="65" t="str">
        <x:v>מאושר</x:v>
      </x:c>
      <x:c r="H49" s="48" t="str">
        <x:v>לענות רק למה שנשאל; מותר לנסח באופן טבעי בלי להוסיף עובדות.</x:v>
      </x:c>
    </x:row>
    <x:row r="50">
      <x:c r="A50" s="47" t="str">
        <x:v>CASE-001-AN-046</x:v>
      </x:c>
      <x:c r="B50" s="65" t="str">
        <x:v>AN-046</x:v>
      </x:c>
      <x:c r="C50" s="65" t="str">
        <x:v>סוכרת</x:v>
      </x:c>
      <x:c r="D50" s="65" t="str">
        <x:v>אין לי סוכרת ידועה.</x:v>
      </x:c>
      <x:c r="E50" s="65" t="str">
        <x:v>חשוב</x:v>
      </x:c>
      <x:c r="F50" s="65" t="str">
        <x:v>סוכרת עשוי לחזק את ההערכה ולשפר את התכנון הקליני.</x:v>
      </x:c>
      <x:c r="G50" s="65" t="str">
        <x:v>מאושר</x:v>
      </x:c>
      <x:c r="H50" s="48" t="str">
        <x:v>לענות רק למה שנשאל; מותר לנסח באופן טבעי בלי להוסיף עובדות.</x:v>
      </x:c>
    </x:row>
    <x:row r="51">
      <x:c r="A51" s="47" t="str">
        <x:v>CASE-001-AN-047</x:v>
      </x:c>
      <x:c r="B51" s="65" t="str">
        <x:v>AN-047</x:v>
      </x:c>
      <x:c r="C51" s="65" t="str">
        <x:v>יתר לחץ דם</x:v>
      </x:c>
      <x:c r="D51" s="65" t="str">
        <x:v>יש לי יתר לחץ דם בערך חמש שנים והוא לא תמיד מאוזן היטב.</x:v>
      </x:c>
      <x:c r="E51" s="65" t="str">
        <x:v>חיוני במקרה</x:v>
      </x:c>
      <x:c r="F51" s="65" t="str">
        <x:v>יתר לחץ דם הוא גורם סיכון מרכזי וגם יעד טיפולי.</x:v>
      </x:c>
      <x:c r="G51" s="65" t="str">
        <x:v>מאושר</x:v>
      </x:c>
      <x:c r="H51" s="48" t="str">
        <x:v>לענות רק למה שנשאל; מותר לנסח באופן טבעי בלי להוסיף עובדות.</x:v>
      </x:c>
    </x:row>
    <x:row r="52">
      <x:c r="A52" s="47" t="str">
        <x:v>CASE-001-AN-048</x:v>
      </x:c>
      <x:c r="B52" s="65" t="str">
        <x:v>AN-048</x:v>
      </x:c>
      <x:c r="C52" s="65" t="str">
        <x:v>היפרליפידמיה</x:v>
      </x:c>
      <x:c r="D52" s="65" t="str">
        <x:v>אובחנו אצלי שומנים גבוהים בדם לפני כשלוש שנים.</x:v>
      </x:c>
      <x:c r="E52" s="65" t="str">
        <x:v>חיוני במקרה</x:v>
      </x:c>
      <x:c r="F52" s="65" t="str">
        <x:v>היפרליפידמיה מחזקת סיכון טרשתי ומשפיעה על הטיפול.</x:v>
      </x:c>
      <x:c r="G52" s="65" t="str">
        <x:v>מאושר</x:v>
      </x:c>
      <x:c r="H52" s="48" t="str">
        <x:v>לענות רק למה שנשאל; מותר לנסח באופן טבעי בלי להוסיף עובדות.</x:v>
      </x:c>
    </x:row>
    <x:row r="53">
      <x:c r="A53" s="47" t="str">
        <x:v>CASE-001-AN-049</x:v>
      </x:c>
      <x:c r="B53" s="65" t="str">
        <x:v>AN-049</x:v>
      </x:c>
      <x:c r="C53" s="65" t="str">
        <x:v>מחלת כליות</x:v>
      </x:c>
      <x:c r="D53" s="65" t="str">
        <x:v>אין לי מחלת כליות ידועה.</x:v>
      </x:c>
      <x:c r="E53" s="65" t="str">
        <x:v>חשוב</x:v>
      </x:c>
      <x:c r="F53" s="65" t="str">
        <x:v>מחלת כליות עשוי לחזק את ההערכה ולשפר את התכנון הקליני.</x:v>
      </x:c>
      <x:c r="G53" s="65" t="str">
        <x:v>מאושר</x:v>
      </x:c>
      <x:c r="H53" s="48" t="str">
        <x:v>לענות רק למה שנשאל; מותר לנסח באופן טבעי בלי להוסיף עובדות.</x:v>
      </x:c>
    </x:row>
    <x:row r="54">
      <x:c r="A54" s="47" t="str">
        <x:v>CASE-001-AN-050</x:v>
      </x:c>
      <x:c r="B54" s="65" t="str">
        <x:v>AN-050</x:v>
      </x:c>
      <x:c r="C54" s="65" t="str">
        <x:v>השמנת יתר</x:v>
      </x:c>
      <x:c r="D54" s="65" t="str">
        <x:v>נאמר לי שיש לי עודף משקל.</x:v>
      </x:c>
      <x:c r="E54" s="65" t="str">
        <x:v>חשוב</x:v>
      </x:c>
      <x:c r="F54" s="65" t="str">
        <x:v>השמנת יתר עשוי לחזק את ההערכה ולשפר את התכנון הקליני.</x:v>
      </x:c>
      <x:c r="G54" s="65" t="str">
        <x:v>מאושר</x:v>
      </x:c>
      <x:c r="H54" s="48" t="str">
        <x:v>לענות רק למה שנשאל; מותר לנסח באופן טבעי בלי להוסיף עובדות.</x:v>
      </x:c>
    </x:row>
    <x:row r="55">
      <x:c r="A55" s="47" t="str">
        <x:v>CASE-001-AN-051</x:v>
      </x:c>
      <x:c r="B55" s="65" t="str">
        <x:v>AN-051</x:v>
      </x:c>
      <x:c r="C55" s="65" t="str">
        <x:v>מחלת לב איסכמית או תעוקה בעבר</x:v>
      </x:c>
      <x:c r="D55" s="65" t="str">
        <x:v>לא אובחנתי בעבר במחלת לב איסכמית או בתעוקת חזה.</x:v>
      </x:c>
      <x:c r="E55" s="65" t="str">
        <x:v>חיוני במקרה</x:v>
      </x:c>
      <x:c r="F55" s="65" t="str">
        <x:v>מחלת לב איסכמית או תעוקה בעבר נחוץ להבנת התמונה, לבטיחות, להערכת הסיכון או לתכנון הטיפול.</x:v>
      </x:c>
      <x:c r="G55" s="65" t="str">
        <x:v>מאושר</x:v>
      </x:c>
      <x:c r="H55" s="48" t="str">
        <x:v>לענות רק למה שנשאל; מותר לנסח באופן טבעי בלי להוסיף עובדות.</x:v>
      </x:c>
    </x:row>
    <x:row r="56">
      <x:c r="A56" s="47" t="str">
        <x:v>CASE-001-AN-052</x:v>
      </x:c>
      <x:c r="B56" s="65" t="str">
        <x:v>AN-052</x:v>
      </x:c>
      <x:c r="C56" s="65" t="str">
        <x:v>אוטם קודם</x:v>
      </x:c>
      <x:c r="D56" s="65" t="str">
        <x:v>לא עברתי אוטם בשריר הלב.</x:v>
      </x:c>
      <x:c r="E56" s="65" t="str">
        <x:v>חשוב</x:v>
      </x:c>
      <x:c r="F56" s="65" t="str">
        <x:v>אוטם קודם עשוי לחזק את ההערכה ולשפר את התכנון הקליני.</x:v>
      </x:c>
      <x:c r="G56" s="65" t="str">
        <x:v>מאושר</x:v>
      </x:c>
      <x:c r="H56" s="48" t="str">
        <x:v>לענות רק למה שנשאל; מותר לנסח באופן טבעי בלי להוסיף עובדות.</x:v>
      </x:c>
    </x:row>
    <x:row r="57">
      <x:c r="A57" s="47" t="str">
        <x:v>CASE-001-AN-053</x:v>
      </x:c>
      <x:c r="B57" s="65" t="str">
        <x:v>AN-053</x:v>
      </x:c>
      <x:c r="C57" s="65" t="str">
        <x:v>אי-ספיקת לב</x:v>
      </x:c>
      <x:c r="D57" s="65" t="str">
        <x:v>לא אובחנתי באי-ספיקת לב.</x:v>
      </x:c>
      <x:c r="E57" s="65" t="str">
        <x:v>חשוב</x:v>
      </x:c>
      <x:c r="F57" s="65" t="str">
        <x:v>אי-ספיקת לב עשוי לחזק את ההערכה ולשפר את התכנון הקליני.</x:v>
      </x:c>
      <x:c r="G57" s="65" t="str">
        <x:v>מאושר</x:v>
      </x:c>
      <x:c r="H57" s="48" t="str">
        <x:v>לענות רק למה שנשאל; מותר לנסח באופן טבעי בלי להוסיף עובדות.</x:v>
      </x:c>
    </x:row>
    <x:row r="58">
      <x:c r="A58" s="47" t="str">
        <x:v>CASE-001-AN-054</x:v>
      </x:c>
      <x:c r="B58" s="65" t="str">
        <x:v>AN-054</x:v>
      </x:c>
      <x:c r="C58" s="65" t="str">
        <x:v>הפרעות קצב</x:v>
      </x:c>
      <x:c r="D58" s="65" t="str">
        <x:v>לא ידועה לי הפרעת קצב.</x:v>
      </x:c>
      <x:c r="E58" s="65" t="str">
        <x:v>חשוב</x:v>
      </x:c>
      <x:c r="F58" s="65" t="str">
        <x:v>הפרעות קצב עשוי לחזק את ההערכה ולשפר את התכנון הקליני.</x:v>
      </x:c>
      <x:c r="G58" s="65" t="str">
        <x:v>מאושר</x:v>
      </x:c>
      <x:c r="H58" s="48" t="str">
        <x:v>לענות רק למה שנשאל; מותר לנסח באופן טבעי בלי להוסיף עובדות.</x:v>
      </x:c>
    </x:row>
    <x:row r="59">
      <x:c r="A59" s="47" t="str">
        <x:v>CASE-001-AN-055</x:v>
      </x:c>
      <x:c r="B59" s="65" t="str">
        <x:v>AN-055</x:v>
      </x:c>
      <x:c r="C59" s="65" t="str">
        <x:v>מחלת מסתמים</x:v>
      </x:c>
      <x:c r="D59" s="65" t="str">
        <x:v>אין לי מחלת מסתמים ידועה.</x:v>
      </x:c>
      <x:c r="E59" s="65" t="str">
        <x:v>חשוב</x:v>
      </x:c>
      <x:c r="F59" s="65" t="str">
        <x:v>מחלת מסתמים עשוי לחזק את ההערכה ולשפר את התכנון הקליני.</x:v>
      </x:c>
      <x:c r="G59" s="65" t="str">
        <x:v>מאושר</x:v>
      </x:c>
      <x:c r="H59" s="48" t="str">
        <x:v>לענות רק למה שנשאל; מותר לנסח באופן טבעי בלי להוסיף עובדות.</x:v>
      </x:c>
    </x:row>
    <x:row r="60">
      <x:c r="A60" s="47" t="str">
        <x:v>CASE-001-AN-056</x:v>
      </x:c>
      <x:c r="B60" s="65" t="str">
        <x:v>AN-056</x:v>
      </x:c>
      <x:c r="C60" s="65" t="str">
        <x:v>אירוע מוחי או מחלת כלי דם היקפיים</x:v>
      </x:c>
      <x:c r="D60" s="65" t="str">
        <x:v>לא עברתי אירוע מוחי ולא אובחנתי במחלת כלי דם היקפיים.</x:v>
      </x:c>
      <x:c r="E60" s="65" t="str">
        <x:v>חשוב</x:v>
      </x:c>
      <x:c r="F60" s="65" t="str">
        <x:v>אירוע מוחי או מחלת כלי דם היקפיים עשוי לחזק את ההערכה ולשפר את התכנון הקליני.</x:v>
      </x:c>
      <x:c r="G60" s="65" t="str">
        <x:v>מאושר</x:v>
      </x:c>
      <x:c r="H60" s="48" t="str">
        <x:v>לענות רק למה שנשאל; מותר לנסח באופן טבעי בלי להוסיף עובדות.</x:v>
      </x:c>
    </x:row>
    <x:row r="61">
      <x:c r="A61" s="47" t="str">
        <x:v>CASE-001-AN-057</x:v>
      </x:c>
      <x:c r="B61" s="65" t="str">
        <x:v>AN-057</x:v>
      </x:c>
      <x:c r="C61" s="65" t="str">
        <x:v>אנמיה</x:v>
      </x:c>
      <x:c r="D61" s="65" t="str">
        <x:v>אין לי אנמיה ידועה.</x:v>
      </x:c>
      <x:c r="E61" s="65" t="str">
        <x:v>משלים</x:v>
      </x:c>
      <x:c r="F61" s="65" t="str">
        <x:v>אנמיה עשוי להשלים את התמונה בהתאם למסלול הבירור.</x:v>
      </x:c>
      <x:c r="G61" s="65" t="str">
        <x:v>מאושר</x:v>
      </x:c>
      <x:c r="H61" s="48" t="str">
        <x:v>לענות רק למה שנשאל; מותר לנסח באופן טבעי בלי להוסיף עובדות.</x:v>
      </x:c>
    </x:row>
    <x:row r="62">
      <x:c r="A62" s="47" t="str">
        <x:v>CASE-001-AN-058</x:v>
      </x:c>
      <x:c r="B62" s="65" t="str">
        <x:v>AN-058</x:v>
      </x:c>
      <x:c r="C62" s="65" t="str">
        <x:v>זיהום או חום לאחרונה</x:v>
      </x:c>
      <x:c r="D62" s="65" t="str">
        <x:v>לא היה לי חום או זיהום לאחרונה.</x:v>
      </x:c>
      <x:c r="E62" s="65" t="str">
        <x:v>משלים</x:v>
      </x:c>
      <x:c r="F62" s="65" t="str">
        <x:v>זיהום או חום לאחרונה עשוי להשלים את התמונה בהתאם למסלול הבירור.</x:v>
      </x:c>
      <x:c r="G62" s="65" t="str">
        <x:v>מאושר</x:v>
      </x:c>
      <x:c r="H62" s="48" t="str">
        <x:v>לענות רק למה שנשאל; מותר לנסח באופן טבעי בלי להוסיף עובדות.</x:v>
      </x:c>
    </x:row>
    <x:row r="63">
      <x:c r="A63" s="47" t="str">
        <x:v>CASE-001-AN-059</x:v>
      </x:c>
      <x:c r="B63" s="65" t="str">
        <x:v>AN-059</x:v>
      </x:c>
      <x:c r="C63" s="65" t="str">
        <x:v>אשפוזים קרדיאליים קודמים</x:v>
      </x:c>
      <x:c r="D63" s="65" t="str">
        <x:v>לא אושפזתי בעבר בגלל בעיה לבבית.</x:v>
      </x:c>
      <x:c r="E63" s="65" t="str">
        <x:v>חשוב</x:v>
      </x:c>
      <x:c r="F63" s="65" t="str">
        <x:v>אשפוזים קרדיאליים קודמים עשוי לחזק את ההערכה ולשפר את התכנון הקליני.</x:v>
      </x:c>
      <x:c r="G63" s="65" t="str">
        <x:v>מאושר</x:v>
      </x:c>
      <x:c r="H63" s="48" t="str">
        <x:v>לענות רק למה שנשאל; מותר לנסח באופן טבעי בלי להוסיף עובדות.</x:v>
      </x:c>
    </x:row>
    <x:row r="64">
      <x:c r="A64" s="47" t="str">
        <x:v>CASE-001-AN-060</x:v>
      </x:c>
      <x:c r="B64" s="65" t="str">
        <x:v>AN-060</x:v>
      </x:c>
      <x:c r="C64" s="65" t="str">
        <x:v>צנתור, תומכן או ניתוח מעקפים</x:v>
      </x:c>
      <x:c r="D64" s="65" t="str">
        <x:v>לא עברתי צנתור, השתלת תומכן או ניתוח מעקפים.</x:v>
      </x:c>
      <x:c r="E64" s="65" t="str">
        <x:v>חשוב</x:v>
      </x:c>
      <x:c r="F64" s="65" t="str">
        <x:v>צנתור, תומכן או ניתוח מעקפים עשוי לחזק את ההערכה ולשפר את התכנון הקליני.</x:v>
      </x:c>
      <x:c r="G64" s="65" t="str">
        <x:v>מאושר</x:v>
      </x:c>
      <x:c r="H64" s="48" t="str">
        <x:v>לענות רק למה שנשאל; מותר לנסח באופן טבעי בלי להוסיף עובדות.</x:v>
      </x:c>
    </x:row>
    <x:row r="65">
      <x:c r="A65" s="47" t="str">
        <x:v>CASE-001-AN-061</x:v>
      </x:c>
      <x:c r="B65" s="65" t="str">
        <x:v>AN-061</x:v>
      </x:c>
      <x:c r="C65" s="65" t="str">
        <x:v>ניתוח מסתמים, קוצב או טיפול בהפרעת קצב</x:v>
      </x:c>
      <x:c r="D65" s="65" t="str">
        <x:v>לא עברתי ניתוח מסתמים, השתלת קוצב או טיפול בהפרעת קצב.</x:v>
      </x:c>
      <x:c r="E65" s="65" t="str">
        <x:v>בדרך כלל לא מרכזי</x:v>
      </x:c>
      <x:c r="F65" s="65" t="str">
        <x:v>ניתוח מסתמים, קוצב או טיפול בהפרעת קצב לגיטימי, אך תרומתו נמוכה במקרה זה ללא רמז מכוון.</x:v>
      </x:c>
      <x:c r="G65" s="65" t="str">
        <x:v>מאושר</x:v>
      </x:c>
      <x:c r="H65" s="48" t="str">
        <x:v>לענות רק למה שנשאל; מותר לנסח באופן טבעי בלי להוסיף עובדות.</x:v>
      </x:c>
    </x:row>
    <x:row r="66">
      <x:c r="A66" s="47" t="str">
        <x:v>CASE-001-AN-062</x:v>
      </x:c>
      <x:c r="B66" s="65" t="str">
        <x:v>AN-062</x:v>
      </x:c>
      <x:c r="C66" s="65" t="str">
        <x:v>שיקום לב</x:v>
      </x:c>
      <x:c r="D66" s="65" t="str">
        <x:v>לא השתתפתי בשיקום לב.</x:v>
      </x:c>
      <x:c r="E66" s="65" t="str">
        <x:v>בדרך כלל לא מרכזי</x:v>
      </x:c>
      <x:c r="F66" s="65" t="str">
        <x:v>שיקום לב לגיטימי, אך תרומתו נמוכה במקרה זה ללא רמז מכוון.</x:v>
      </x:c>
      <x:c r="G66" s="65" t="str">
        <x:v>מאושר</x:v>
      </x:c>
      <x:c r="H66" s="48" t="str">
        <x:v>לענות רק למה שנשאל; מותר לנסח באופן טבעי בלי להוסיף עובדות.</x:v>
      </x:c>
    </x:row>
    <x:row r="67">
      <x:c r="A67" s="47" t="str">
        <x:v>CASE-001-AN-063</x:v>
      </x:c>
      <x:c r="B67" s="65" t="str">
        <x:v>AN-063</x:v>
      </x:c>
      <x:c r="C67" s="65" t="str">
        <x:v>אק״ג או הולטר קודמים</x:v>
      </x:c>
      <x:c r="D67" s="65" t="str">
        <x:v>לא זכורה לי בדיקת אק״ג או הולטר משמעותית בעבר.</x:v>
      </x:c>
      <x:c r="E67" s="65" t="str">
        <x:v>בדרך כלל לא מרכזי</x:v>
      </x:c>
      <x:c r="F67" s="65" t="str">
        <x:v>אק״ג או הולטר קודמים לגיטימי, אך תרומתו נמוכה במקרה זה ללא רמז מכוון.</x:v>
      </x:c>
      <x:c r="G67" s="65" t="str">
        <x:v>מאושר</x:v>
      </x:c>
      <x:c r="H67" s="48" t="str">
        <x:v>לענות רק למה שנשאל; מותר לנסח באופן טבעי בלי להוסיף עובדות.</x:v>
      </x:c>
    </x:row>
    <x:row r="68">
      <x:c r="A68" s="47" t="str">
        <x:v>CASE-001-AN-064</x:v>
      </x:c>
      <x:c r="B68" s="65" t="str">
        <x:v>AN-064</x:v>
      </x:c>
      <x:c r="C68" s="65" t="str">
        <x:v>אקו, מבחן מאמץ או מיפוי לב</x:v>
      </x:c>
      <x:c r="D68" s="65" t="str">
        <x:v>לא עברתי אקו לב, מבחן מאמץ או מיפוי לב בעבר.</x:v>
      </x:c>
      <x:c r="E68" s="65" t="str">
        <x:v>בדרך כלל לא מרכזי</x:v>
      </x:c>
      <x:c r="F68" s="65" t="str">
        <x:v>אקו, מבחן מאמץ או מיפוי לב לגיטימי, אך תרומתו נמוכה במקרה זה ללא רמז מכוון.</x:v>
      </x:c>
      <x:c r="G68" s="65" t="str">
        <x:v>מאושר</x:v>
      </x:c>
      <x:c r="H68" s="48" t="str">
        <x:v>לענות רק למה שנשאל; מותר לנסח באופן טבעי בלי להוסיף עובדות.</x:v>
      </x:c>
    </x:row>
    <x:row r="69">
      <x:c r="A69" s="47" t="str">
        <x:v>CASE-001-AN-065</x:v>
      </x:c>
      <x:c r="B69" s="65" t="str">
        <x:v>AN-065</x:v>
      </x:c>
      <x:c r="C69" s="65" t="str">
        <x:v>CT לבבי או צנתור אבחוני</x:v>
      </x:c>
      <x:c r="D69" s="65" t="str">
        <x:v>לא עברתי CT לבבי או צנתור אבחנתי.</x:v>
      </x:c>
      <x:c r="E69" s="65" t="str">
        <x:v>בדרך כלל לא מרכזי</x:v>
      </x:c>
      <x:c r="F69" s="65" t="str">
        <x:v>CT לבבי או צנתור אבחוני לגיטימי, אך תרומתו נמוכה במקרה זה ללא רמז מכוון.</x:v>
      </x:c>
      <x:c r="G69" s="65" t="str">
        <x:v>מאושר</x:v>
      </x:c>
      <x:c r="H69" s="48" t="str">
        <x:v>לענות רק למה שנשאל; מותר לנסח באופן טבעי בלי להוסיף עובדות.</x:v>
      </x:c>
    </x:row>
    <x:row r="70">
      <x:c r="A70" s="47" t="str">
        <x:v>CASE-001-AN-066</x:v>
      </x:c>
      <x:c r="B70" s="65" t="str">
        <x:v>AN-066</x:v>
      </x:c>
      <x:c r="C70" s="65" t="str">
        <x:v>כל התרופות הקבועות</x:v>
      </x:c>
      <x:c r="D70" s="65" t="str">
        <x:v>אני אמור לקחת בכל יום תרופה ללחץ דם, אבל איני זוכר כרגע את שמה. בעבר קיבלתי גם סטטין לשומנים.</x:v>
      </x:c>
      <x:c r="E70" s="65" t="str">
        <x:v>חשוב</x:v>
      </x:c>
      <x:c r="F70" s="65" t="str">
        <x:v>כל התרופות הקבועות עשוי לחזק את ההערכה ולשפר את התכנון הקליני.</x:v>
      </x:c>
      <x:c r="G70" s="65" t="str">
        <x:v>מאושר</x:v>
      </x:c>
      <x:c r="H70" s="48" t="str">
        <x:v>לענות רק למה שנשאל; מותר לנסח באופן טבעי בלי להוסיף עובדות.</x:v>
      </x:c>
    </x:row>
    <x:row r="71">
      <x:c r="A71" s="47" t="str">
        <x:v>CASE-001-AN-067</x:v>
      </x:c>
      <x:c r="B71" s="65" t="str">
        <x:v>AN-067</x:v>
      </x:c>
      <x:c r="C71" s="65" t="str">
        <x:v>נטילה בפועל</x:v>
      </x:c>
      <x:c r="D71" s="65" t="str">
        <x:v>אני מחמיץ את התרופה ללחץ הדם בערך פעם או פעמיים בשבוע. את הסטטין איני לוקח כבר כמה חודשים.</x:v>
      </x:c>
      <x:c r="E71" s="65" t="str">
        <x:v>חשוב</x:v>
      </x:c>
      <x:c r="F71" s="65" t="str">
        <x:v>נטילה בפועל עשוי לחזק את ההערכה ולשפר את התכנון הקליני.</x:v>
      </x:c>
      <x:c r="G71" s="65" t="str">
        <x:v>מאושר</x:v>
      </x:c>
      <x:c r="H71" s="48" t="str">
        <x:v>לענות רק למה שנשאל; מותר לנסח באופן טבעי בלי להוסיף עובדות.</x:v>
      </x:c>
    </x:row>
    <x:row r="72">
      <x:c r="A72" s="47" t="str">
        <x:v>CASE-001-AN-068</x:v>
      </x:c>
      <x:c r="B72" s="65" t="str">
        <x:v>AN-068</x:v>
      </x:c>
      <x:c r="C72" s="65" t="str">
        <x:v>שינוי או הפסקת תרופה לאחרונה</x:v>
      </x:c>
      <x:c r="D72" s="65" t="str">
        <x:v>הפסקתי את הסטטין לפני כמה חודשים לאחר שהמרשם הסתיים ולא חידשתי אותו.</x:v>
      </x:c>
      <x:c r="E72" s="65" t="str">
        <x:v>חיוני במקרה</x:v>
      </x:c>
      <x:c r="F72" s="65" t="str">
        <x:v>הפסקת סטטין מסבירה סיכון לא מטופל ומכוונת להמלצה.</x:v>
      </x:c>
      <x:c r="G72" s="65" t="str">
        <x:v>מאושר</x:v>
      </x:c>
      <x:c r="H72" s="48" t="str">
        <x:v>לענות רק למה שנשאל; מותר לנסח באופן טבעי בלי להוסיף עובדות.</x:v>
      </x:c>
    </x:row>
    <x:row r="73">
      <x:c r="A73" s="47" t="str">
        <x:v>CASE-001-AN-069</x:v>
      </x:c>
      <x:c r="B73" s="65" t="str">
        <x:v>AN-069</x:v>
      </x:c>
      <x:c r="C73" s="65" t="str">
        <x:v>תרופה שנלקחה בזמן האירוע</x:v>
      </x:c>
      <x:c r="D73" s="65" t="str">
        <x:v>לא לקחתי תרופה מיוחדת בזמן האירועים; פשוט עצרתי ונחתי.</x:v>
      </x:c>
      <x:c r="E73" s="65" t="str">
        <x:v>משלים</x:v>
      </x:c>
      <x:c r="F73" s="65" t="str">
        <x:v>תרופה שנלקחה בזמן האירוע עשוי להשלים את התמונה בהתאם למסלול הבירור.</x:v>
      </x:c>
      <x:c r="G73" s="65" t="str">
        <x:v>מאושר</x:v>
      </x:c>
      <x:c r="H73" s="48" t="str">
        <x:v>לענות רק למה שנשאל; מותר לנסח באופן טבעי בלי להוסיף עובדות.</x:v>
      </x:c>
    </x:row>
    <x:row r="74">
      <x:c r="A74" s="47" t="str">
        <x:v>CASE-001-AN-070</x:v>
      </x:c>
      <x:c r="B74" s="65" t="str">
        <x:v>AN-070</x:v>
      </x:c>
      <x:c r="C74" s="65" t="str">
        <x:v>הבנת הסיבה לטיפול</x:v>
      </x:c>
      <x:c r="D74" s="65" t="str">
        <x:v>אני מבין שהתרופה ללחץ הדם חשובה, אבל כנראה לא הבנתי עד כמה חשוב להמשיך את הסטטין גם כשאני מרגיש בסדר.</x:v>
      </x:c>
      <x:c r="E74" s="65" t="str">
        <x:v>חשוב</x:v>
      </x:c>
      <x:c r="F74" s="65" t="str">
        <x:v>הבנת הסיבה לטיפול עשוי לחזק את ההערכה ולשפר את התכנון הקליני.</x:v>
      </x:c>
      <x:c r="G74" s="65" t="str">
        <x:v>מאושר</x:v>
      </x:c>
      <x:c r="H74" s="48" t="str">
        <x:v>לענות רק למה שנשאל; מותר לנסח באופן טבעי בלי להוסיף עובדות.</x:v>
      </x:c>
    </x:row>
    <x:row r="75">
      <x:c r="A75" s="47" t="str">
        <x:v>CASE-001-AN-071</x:v>
      </x:c>
      <x:c r="B75" s="65" t="str">
        <x:v>AN-071</x:v>
      </x:c>
      <x:c r="C75" s="65" t="str">
        <x:v>מחלות לב במשפחה</x:v>
      </x:c>
      <x:c r="D75" s="65" t="str">
        <x:v>לאבי הייתה מחלת לב והוא עבר אוטם. לא ידוע לי על מחלת לב אחרת במשפחה הקרובה.</x:v>
      </x:c>
      <x:c r="E75" s="65" t="str">
        <x:v>חשוב</x:v>
      </x:c>
      <x:c r="F75" s="65" t="str">
        <x:v>מחלות לב במשפחה עשוי לחזק את ההערכה ולשפר את התכנון הקליני.</x:v>
      </x:c>
      <x:c r="G75" s="65" t="str">
        <x:v>מאושר</x:v>
      </x:c>
      <x:c r="H75" s="48" t="str">
        <x:v>לענות רק למה שנשאל; מותר לנסח באופן טבעי בלי להוסיף עובדות.</x:v>
      </x:c>
    </x:row>
    <x:row r="76">
      <x:c r="A76" s="47" t="str">
        <x:v>CASE-001-AN-072</x:v>
      </x:c>
      <x:c r="B76" s="65" t="str">
        <x:v>AN-072</x:v>
      </x:c>
      <x:c r="C76" s="65" t="str">
        <x:v>אוטם או מוות פתאומי ובאיזה גיל</x:v>
      </x:c>
      <x:c r="D76" s="65" t="str">
        <x:v>אבי עבר אוטם בגיל 54. אין במשפחה מוות לבבי פתאומי שידוע לי.</x:v>
      </x:c>
      <x:c r="E76" s="65" t="str">
        <x:v>חיוני במקרה</x:v>
      </x:c>
      <x:c r="F76" s="65" t="str">
        <x:v>אוטם מוקדם אצל האב מחזק סיכון משפחתי.</x:v>
      </x:c>
      <x:c r="G76" s="65" t="str">
        <x:v>מאושר</x:v>
      </x:c>
      <x:c r="H76" s="48" t="str">
        <x:v>לענות רק למה שנשאל; מותר לנסח באופן טבעי בלי להוסיף עובדות.</x:v>
      </x:c>
    </x:row>
    <x:row r="77">
      <x:c r="A77" s="47" t="str">
        <x:v>CASE-001-AN-073</x:v>
      </x:c>
      <x:c r="B77" s="65" t="str">
        <x:v>AN-073</x:v>
      </x:c>
      <x:c r="C77" s="65" t="str">
        <x:v>סוכרת, יתר לחץ דם והיפרליפידמיה במשפחה</x:v>
      </x:c>
      <x:c r="D77" s="65" t="str">
        <x:v>לאמי יש יתר לחץ דם ולאחותי סוכרת סוג 2. לא ידוע לי על היפרליפידמיה משפחתית מאובחנת.</x:v>
      </x:c>
      <x:c r="E77" s="65" t="str">
        <x:v>חשוב</x:v>
      </x:c>
      <x:c r="F77" s="65" t="str">
        <x:v>סוכרת, יתר לחץ דם והיפרליפידמיה במשפחה עשוי לחזק את ההערכה ולשפר את התכנון הקליני.</x:v>
      </x:c>
      <x:c r="G77" s="65" t="str">
        <x:v>מאושר</x:v>
      </x:c>
      <x:c r="H77" s="48" t="str">
        <x:v>לענות רק למה שנשאל; מותר לנסח באופן טבעי בלי להוסיף עובדות.</x:v>
      </x:c>
    </x:row>
    <x:row r="78">
      <x:c r="A78" s="47" t="str">
        <x:v>CASE-001-AN-074</x:v>
      </x:c>
      <x:c r="B78" s="65" t="str">
        <x:v>AN-074</x:v>
      </x:c>
      <x:c r="C78" s="65" t="str">
        <x:v>עישון בהווה ובעבר</x:v>
      </x:c>
      <x:c r="D78" s="65" t="str">
        <x:v>אני מעשן בערך עשר סיגריות ביום מאז שנות העשרים לחיי.</x:v>
      </x:c>
      <x:c r="E78" s="65" t="str">
        <x:v>חיוני במקרה</x:v>
      </x:c>
      <x:c r="F78" s="65" t="str">
        <x:v>עישון חיוני להערכת סיכון ולגזירת המלצה טיפולית.</x:v>
      </x:c>
      <x:c r="G78" s="65" t="str">
        <x:v>מאושר</x:v>
      </x:c>
      <x:c r="H78" s="48" t="str">
        <x:v>לענות רק למה שנשאל; מותר לנסח באופן טבעי בלי להוסיף עובדות.</x:v>
      </x:c>
    </x:row>
    <x:row r="79">
      <x:c r="A79" s="47" t="str">
        <x:v>CASE-001-AN-075</x:v>
      </x:c>
      <x:c r="B79" s="65" t="str">
        <x:v>AN-075</x:v>
      </x:c>
      <x:c r="C79" s="65" t="str">
        <x:v>דפוס תזונה</x:v>
      </x:c>
      <x:c r="D79" s="65" t="str">
        <x:v>אני אוכל לא מעט מזון מלוח ומטוגן ולא מספיק ירקות.</x:v>
      </x:c>
      <x:c r="E79" s="65" t="str">
        <x:v>חשוב</x:v>
      </x:c>
      <x:c r="F79" s="65" t="str">
        <x:v>דפוס תזונה עשוי לחזק את ההערכה ולשפר את התכנון הקליני.</x:v>
      </x:c>
      <x:c r="G79" s="65" t="str">
        <x:v>מאושר</x:v>
      </x:c>
      <x:c r="H79" s="48" t="str">
        <x:v>לענות רק למה שנשאל; מותר לנסח באופן טבעי בלי להוסיף עובדות.</x:v>
      </x:c>
    </x:row>
    <x:row r="80">
      <x:c r="A80" s="47" t="str">
        <x:v>CASE-001-AN-076</x:v>
      </x:c>
      <x:c r="B80" s="65" t="str">
        <x:v>AN-076</x:v>
      </x:c>
      <x:c r="C80" s="65" t="str">
        <x:v>פעילות גופנית קבועה</x:v>
      </x:c>
      <x:c r="D80" s="65" t="str">
        <x:v>איני עוסק בפעילות גופנית סדירה.</x:v>
      </x:c>
      <x:c r="E80" s="65" t="str">
        <x:v>חשוב</x:v>
      </x:c>
      <x:c r="F80" s="65" t="str">
        <x:v>פעילות גופנית קבועה עשוי לחזק את ההערכה ולשפר את התכנון הקליני.</x:v>
      </x:c>
      <x:c r="G80" s="65" t="str">
        <x:v>מאושר</x:v>
      </x:c>
      <x:c r="H80" s="48" t="str">
        <x:v>לענות רק למה שנשאל; מותר לנסח באופן טבעי בלי להוסיף עובדות.</x:v>
      </x:c>
    </x:row>
    <x:row r="81">
      <x:c r="A81" s="47" t="str">
        <x:v>CASE-001-AN-077</x:v>
      </x:c>
      <x:c r="B81" s="65" t="str">
        <x:v>AN-077</x:v>
      </x:c>
      <x:c r="C81" s="65" t="str">
        <x:v>ישיבה ממושכת ואורח חיים יושבני</x:v>
      </x:c>
      <x:c r="D81" s="65" t="str">
        <x:v>אני יושב בערך שמונה עד תשע שעות ביום.</x:v>
      </x:c>
      <x:c r="E81" s="65" t="str">
        <x:v>חשוב</x:v>
      </x:c>
      <x:c r="F81" s="65" t="str">
        <x:v>ישיבה ממושכת ואורח חיים יושבני עשוי לחזק את ההערכה ולשפר את התכנון הקליני.</x:v>
      </x:c>
      <x:c r="G81" s="65" t="str">
        <x:v>מאושר</x:v>
      </x:c>
      <x:c r="H81" s="48" t="str">
        <x:v>לענות רק למה שנשאל; מותר לנסח באופן טבעי בלי להוסיף עובדות.</x:v>
      </x:c>
    </x:row>
    <x:row r="82">
      <x:c r="A82" s="47" t="str">
        <x:v>CASE-001-AN-078</x:v>
      </x:c>
      <x:c r="B82" s="65" t="str">
        <x:v>AN-078</x:v>
      </x:c>
      <x:c r="C82" s="65" t="str">
        <x:v>צריכת אלכוהול</x:v>
      </x:c>
      <x:c r="D82" s="65" t="str">
        <x:v>אני שותה מעט אלכוהול, בדרך כלל בסוף השבוע.</x:v>
      </x:c>
      <x:c r="E82" s="65" t="str">
        <x:v>משלים</x:v>
      </x:c>
      <x:c r="F82" s="65" t="str">
        <x:v>צריכת אלכוהול עשוי להשלים את התמונה בהתאם למסלול הבירור.</x:v>
      </x:c>
      <x:c r="G82" s="65" t="str">
        <x:v>מאושר</x:v>
      </x:c>
      <x:c r="H82" s="48" t="str">
        <x:v>לענות רק למה שנשאל; מותר לנסח באופן טבעי בלי להוסיף עובדות.</x:v>
      </x:c>
    </x:row>
    <x:row r="83">
      <x:c r="A83" s="47" t="str">
        <x:v>CASE-001-AN-079</x:v>
      </x:c>
      <x:c r="B83" s="65" t="str">
        <x:v>AN-079</x:v>
      </x:c>
      <x:c r="C83" s="65" t="str">
        <x:v>שימוש בסמים או בחומרים ממריצים</x:v>
      </x:c>
      <x:c r="D83" s="65" t="str">
        <x:v>איני משתמש בסמים או בחומרים ממריצים.</x:v>
      </x:c>
      <x:c r="E83" s="65" t="str">
        <x:v>משלים</x:v>
      </x:c>
      <x:c r="F83" s="65" t="str">
        <x:v>שימוש בסמים או בחומרים ממריצים עשוי להשלים את התמונה בהתאם למסלול הבירור.</x:v>
      </x:c>
      <x:c r="G83" s="65" t="str">
        <x:v>מאושר</x:v>
      </x:c>
      <x:c r="H83" s="48" t="str">
        <x:v>לענות רק למה שנשאל; מותר לנסח באופן טבעי בלי להוסיף עובדות.</x:v>
      </x:c>
    </x:row>
    <x:row r="84">
      <x:c r="A84" s="47" t="str">
        <x:v>CASE-001-AN-080</x:v>
      </x:c>
      <x:c r="B84" s="65" t="str">
        <x:v>AN-080</x:v>
      </x:c>
      <x:c r="C84" s="65" t="str">
        <x:v>מתח נפשי</x:v>
      </x:c>
      <x:c r="D84" s="65" t="str">
        <x:v>יש לי עומס עבודה בינוני, אך איני מרגיש מתח קיצוני.</x:v>
      </x:c>
      <x:c r="E84" s="65" t="str">
        <x:v>משלים</x:v>
      </x:c>
      <x:c r="F84" s="65" t="str">
        <x:v>מתח נפשי עשוי להשלים את התמונה בהתאם למסלול הבירור.</x:v>
      </x:c>
      <x:c r="G84" s="65" t="str">
        <x:v>מאושר</x:v>
      </x:c>
      <x:c r="H84" s="48" t="str">
        <x:v>לענות רק למה שנשאל; מותר לנסח באופן טבעי בלי להוסיף עובדות.</x:v>
      </x:c>
    </x:row>
    <x:row r="85">
      <x:c r="A85" s="47" t="str">
        <x:v>CASE-001-AN-081</x:v>
      </x:c>
      <x:c r="B85" s="65" t="str">
        <x:v>AN-081</x:v>
      </x:c>
      <x:c r="C85" s="65" t="str">
        <x:v>משקל ושינוי במשקל</x:v>
      </x:c>
      <x:c r="D85" s="65" t="str">
        <x:v>עליתי בערך ארבעה קילוגרמים בשנתיים האחרונות, והמשקל יציב בחודשים האחרונים.</x:v>
      </x:c>
      <x:c r="E85" s="65" t="str">
        <x:v>חשוב</x:v>
      </x:c>
      <x:c r="F85" s="65" t="str">
        <x:v>משקל ושינוי במשקל עשוי לחזק את ההערכה ולשפר את התכנון הקליני.</x:v>
      </x:c>
      <x:c r="G85" s="65" t="str">
        <x:v>מאושר</x:v>
      </x:c>
      <x:c r="H85" s="48" t="str">
        <x:v>לענות רק למה שנשאל; מותר לנסח באופן טבעי בלי להוסיף עובדות.</x:v>
      </x:c>
    </x:row>
    <x:row r="86">
      <x:c r="A86" s="47" t="str">
        <x:v>CASE-001-AN-082</x:v>
      </x:c>
      <x:c r="B86" s="65" t="str">
        <x:v>AN-082</x:v>
      </x:c>
      <x:c r="C86" s="65" t="str">
        <x:v>תחביבים בעלי משמעות תפקודית</x:v>
      </x:c>
      <x:c r="D86" s="65" t="str">
        <x:v>אני אוהב מעט גינון, אבל לאחרונה נמנע מעבודות כבדות כי הן מעוררות את הלחץ בחזה.</x:v>
      </x:c>
      <x:c r="E86" s="65" t="str">
        <x:v>משלים</x:v>
      </x:c>
      <x:c r="F86" s="65" t="str">
        <x:v>תחביבים בעלי משמעות תפקודית עשוי להשלים את התמונה בהתאם למסלול הבירור.</x:v>
      </x:c>
      <x:c r="G86" s="65" t="str">
        <x:v>מאושר</x:v>
      </x:c>
      <x:c r="H86" s="48" t="str">
        <x:v>לענות רק למה שנשאל; מותר לנסח באופן טבעי בלי להוסיף עובדות.</x:v>
      </x:c>
    </x:row>
    <x:row r="87">
      <x:c r="A87" s="47" t="str">
        <x:v>CASE-001-AN-083</x:v>
      </x:c>
      <x:c r="B87" s="65" t="str">
        <x:v>AN-083</x:v>
      </x:c>
      <x:c r="C87" s="65" t="str">
        <x:v>רגישות לתרופות</x:v>
      </x:c>
      <x:c r="D87" s="65" t="str">
        <x:v>אין לי רגישות ידועה לתרופות.</x:v>
      </x:c>
      <x:c r="E87" s="65" t="str">
        <x:v>חשוב</x:v>
      </x:c>
      <x:c r="F87" s="65" t="str">
        <x:v>רגישות לתרופות עשוי לחזק את ההערכה ולשפר את התכנון הקליני.</x:v>
      </x:c>
      <x:c r="G87" s="65" t="str">
        <x:v>מאושר</x:v>
      </x:c>
      <x:c r="H87" s="48" t="str">
        <x:v>לענות רק למה שנשאל; מותר לנסח באופן טבעי בלי להוסיף עובדות.</x:v>
      </x:c>
    </x:row>
    <x:row r="88">
      <x:c r="A88" s="47" t="str">
        <x:v>CASE-001-AN-084</x:v>
      </x:c>
      <x:c r="B88" s="65" t="str">
        <x:v>AN-084</x:v>
      </x:c>
      <x:c r="C88" s="65" t="str">
        <x:v>תגובה לחומר ניגוד או חומרים אחרים</x:v>
      </x:c>
      <x:c r="D88" s="65" t="str">
        <x:v>איני זוכר שנחשפתי לחומר ניגוד ולכן איני יודע אם קיימת רגישות אליו.</x:v>
      </x:c>
      <x:c r="E88" s="65" t="str">
        <x:v>חשוב</x:v>
      </x:c>
      <x:c r="F88" s="65" t="str">
        <x:v>תגובה לחומר ניגוד או חומרים אחרים עשוי לחזק את ההערכה ולשפר את התכנון הקליני.</x:v>
      </x:c>
      <x:c r="G88" s="65" t="str">
        <x:v>מאושר</x:v>
      </x:c>
      <x:c r="H88" s="48" t="str">
        <x:v>לענות רק למה שנשאל; מותר לנסח באופן טבעי בלי להוסיף עובדות.</x:v>
      </x:c>
    </x:row>
    <x:row r="89">
      <x:c r="A89" s="47" t="str">
        <x:v>CASE-001-AN-085</x:v>
      </x:c>
      <x:c r="B89" s="65" t="str">
        <x:v>AN-085</x:v>
      </x:c>
      <x:c r="C89" s="65" t="str">
        <x:v>קשר לנשימה</x:v>
      </x:c>
      <x:c r="D89" s="65" t="str">
        <x:v>נשימה עמוקה אינה מחמירה את התחושה.</x:v>
      </x:c>
      <x:c r="E89" s="65" t="str">
        <x:v>חשוב</x:v>
      </x:c>
      <x:c r="F89" s="65" t="str">
        <x:v>קשר לנשימה עשוי לחזק את ההערכה ולשפר את התכנון הקליני.</x:v>
      </x:c>
      <x:c r="G89" s="65" t="str">
        <x:v>מאושר</x:v>
      </x:c>
      <x:c r="H89" s="48" t="str">
        <x:v>לענות רק למה שנשאל; מותר לנסח באופן טבעי בלי להוסיף עובדות.</x:v>
      </x:c>
    </x:row>
    <x:row r="90">
      <x:c r="A90" s="47" t="str">
        <x:v>CASE-001-AN-086</x:v>
      </x:c>
      <x:c r="B90" s="65" t="str">
        <x:v>AN-086</x:v>
      </x:c>
      <x:c r="C90" s="65" t="str">
        <x:v>קשר לתנוחה</x:v>
      </x:c>
      <x:c r="D90" s="65" t="str">
        <x:v>שינוי תנוחה אינו משפיע על התחושה.</x:v>
      </x:c>
      <x:c r="E90" s="65" t="str">
        <x:v>משלים</x:v>
      </x:c>
      <x:c r="F90" s="65" t="str">
        <x:v>קשר לתנוחה עשוי להשלים את התמונה בהתאם למסלול הבירור.</x:v>
      </x:c>
      <x:c r="G90" s="65" t="str">
        <x:v>מאושר</x:v>
      </x:c>
      <x:c r="H90" s="48" t="str">
        <x:v>לענות רק למה שנשאל; מותר לנסח באופן טבעי בלי להוסיף עובדות.</x:v>
      </x:c>
    </x:row>
    <x:row r="91">
      <x:c r="A91" s="47" t="str">
        <x:v>CASE-001-AN-087</x:v>
      </x:c>
      <x:c r="B91" s="65" t="str">
        <x:v>AN-087</x:v>
      </x:c>
      <x:c r="C91" s="65" t="str">
        <x:v>קשר לתנועה או ללחיצה</x:v>
      </x:c>
      <x:c r="D91" s="65" t="str">
        <x:v>תנועה של פלג הגוף או לחיצה על בית החזה אינן מפיקות את התחושה.</x:v>
      </x:c>
      <x:c r="E91" s="65" t="str">
        <x:v>חשוב</x:v>
      </x:c>
      <x:c r="F91" s="65" t="str">
        <x:v>קשר לתנועה או ללחיצה עשוי לחזק את ההערכה ולשפר את התכנון הקליני.</x:v>
      </x:c>
      <x:c r="G91" s="65" t="str">
        <x:v>מאושר</x:v>
      </x:c>
      <x:c r="H91" s="48" t="str">
        <x:v>לענות רק למה שנשאל; מותר לנסח באופן טבעי בלי להוסיף עובדות.</x:v>
      </x:c>
    </x:row>
    <x:row r="92">
      <x:c r="A92" s="47" t="str">
        <x:v>CASE-001-AN-088</x:v>
      </x:c>
      <x:c r="B92" s="65" t="str">
        <x:v>AN-088</x:v>
      </x:c>
      <x:c r="C92" s="65" t="str">
        <x:v>קשר לאוכל או צרבת</x:v>
      </x:c>
      <x:c r="D92" s="65" t="str">
        <x:v>אין קשר קבוע לאוכל ואין לי צרבת קבועה.</x:v>
      </x:c>
      <x:c r="E92" s="65" t="str">
        <x:v>משלים</x:v>
      </x:c>
      <x:c r="F92" s="65" t="str">
        <x:v>קשר לאוכל או צרבת עשוי להשלים את התמונה בהתאם למסלול הבירור.</x:v>
      </x:c>
      <x:c r="G92" s="65" t="str">
        <x:v>מאושר</x:v>
      </x:c>
      <x:c r="H92" s="48" t="str">
        <x:v>לענות רק למה שנשאל; מותר לנסח באופן טבעי בלי להוסיף עובדות.</x:v>
      </x:c>
    </x:row>
    <x:row r="93">
      <x:c r="A93" s="49" t="str">
        <x:v>CASE-001-AN-089</x:v>
      </x:c>
      <x:c r="B93" s="66" t="str">
        <x:v>AN-089</x:v>
      </x:c>
      <x:c r="C93" s="66" t="str">
        <x:v>חום, שיעול או מחלה נשימתית</x:v>
      </x:c>
      <x:c r="D93" s="66" t="str">
        <x:v>אין חום, שיעול או מחלה נשימתית סמוכה.</x:v>
      </x:c>
      <x:c r="E93" s="66" t="str">
        <x:v>משלים</x:v>
      </x:c>
      <x:c r="F93" s="66" t="str">
        <x:v>חום, שיעול או מחלה נשימתית עשוי להשלים את התמונה בהתאם למסלול הבירור.</x:v>
      </x:c>
      <x:c r="G93" s="66" t="str">
        <x:v>מאושר</x:v>
      </x:c>
      <x:c r="H93" s="50" t="str">
        <x:v>לענות רק למה שנשאל; מותר לנסח באופן טבעי בלי להוסיף עובדות.</x:v>
      </x:c>
    </x:row>
  </x:sheetData>
  <x:mergeCells>
    <x:mergeCell ref="A1:H1"/>
    <x:mergeCell ref="A2:H2"/>
  </x:mergeCells>
  <x:conditionalFormatting sqref="E5:E93">
    <x:cfRule type="containsText" dxfId="0" priority="1" operator="containsText" text="חיוני במקרה"/>
    <x:cfRule type="containsText" dxfId="1" priority="2" operator="containsText" text="חשוב"/>
    <x:cfRule type="containsText" dxfId="2" priority="3" operator="containsText" text="משלים"/>
    <x:cfRule type="containsText" dxfId="3" priority="4" operator="containsText" text="בדרך כלל לא מרכזי"/>
  </x:conditionalFormatting>
  <x:dataValidations count="1">
    <x:dataValidation type="list" sqref="E5:E93">
      <x:formula1>"חיוני במקרה,חשוב,משלים,בדרך כלל לא מרכזי"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a739456db74f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26.670000076293945" hidden="0" customWidth="1"/>
    <x:col min="4" max="4" width="43.33000183105469" hidden="0" customWidth="1"/>
    <x:col min="5" max="5" width="13.890000343322754" hidden="0" customWidth="1"/>
    <x:col min="6" max="6" width="37.779998779296875" hidden="0" customWidth="1"/>
    <x:col min="7" max="7" width="10" hidden="0" customWidth="1"/>
    <x:col min="8" max="8" width="23.329999923706055" hidden="0" customWidth="1"/>
  </x:cols>
  <x:sheetData>
    <x:row r="1" ht="30" customHeight="1">
      <x:c r="A1" s="4" t="str">
        <x:v>ממצאי בדיקה גופנית — א׳ ש׳</x:v>
      </x:c>
      <x:c r="B1" s="4" t="str">
        <x:v>ממצאי בדיקה גופנית — א׳ ש׳</x:v>
      </x:c>
      <x:c r="C1" s="4" t="str">
        <x:v>ממצאי בדיקה גופנית — א׳ ש׳</x:v>
      </x:c>
      <x:c r="D1" s="4" t="str">
        <x:v>ממצאי בדיקה גופנית — א׳ ש׳</x:v>
      </x:c>
      <x:c r="E1" s="4" t="str">
        <x:v>ממצאי בדיקה גופנית — א׳ ש׳</x:v>
      </x:c>
      <x:c r="F1" s="4" t="str">
        <x:v>ממצאי בדיקה גופנית — א׳ ש׳</x:v>
      </x:c>
      <x:c r="G1" s="4" t="str">
        <x:v>ממצאי בדיקה גופנית — א׳ ש׳</x:v>
      </x:c>
      <x:c r="H1" s="4" t="str">
        <x:v>ממצאי בדיקה גופנית — א׳ ש׳</x:v>
      </x:c>
    </x:row>
    <x:row r="2" ht="30" customHeight="1">
      <x:c r="A2" s="9" t="str">
        <x:v>כל 45 מזהי הבדיקה הגופנית במסד הכללי קיבלו ממצא קבוע.</x:v>
      </x:c>
      <x:c r="B2" s="9" t="str">
        <x:v>כל 45 מזהי הבדיקה הגופנית במסד הכללי קיבלו ממצא קבוע.</x:v>
      </x:c>
      <x:c r="C2" s="9" t="str">
        <x:v>כל 45 מזהי הבדיקה הגופנית במסד הכללי קיבלו ממצא קבוע.</x:v>
      </x:c>
      <x:c r="D2" s="9" t="str">
        <x:v>כל 45 מזהי הבדיקה הגופנית במסד הכללי קיבלו ממצא קבוע.</x:v>
      </x:c>
      <x:c r="E2" s="9" t="str">
        <x:v>כל 45 מזהי הבדיקה הגופנית במסד הכללי קיבלו ממצא קבוע.</x:v>
      </x:c>
      <x:c r="F2" s="9" t="str">
        <x:v>כל 45 מזהי הבדיקה הגופנית במסד הכללי קיבלו ממצא קבוע.</x:v>
      </x:c>
      <x:c r="G2" s="9" t="str">
        <x:v>כל 45 מזהי הבדיקה הגופנית במסד הכללי קיבלו ממצא קבוע.</x:v>
      </x:c>
      <x:c r="H2" s="9" t="str">
        <x:v>כל 45 מזהי הבדיקה הגופנית במסד הכללי קיבלו ממצא קבוע.</x:v>
      </x:c>
    </x:row>
    <x:row r="4" ht="34" customHeight="1">
      <x:c r="A4" s="24" t="str">
        <x:v>מזהה ערך בתיק</x:v>
      </x:c>
      <x:c r="B4" s="54" t="str">
        <x:v>מזהה רכיב בסיס</x:v>
      </x:c>
      <x:c r="C4" s="54" t="str">
        <x:v>רכיב בדיקה</x:v>
      </x:c>
      <x:c r="D4" s="54" t="str">
        <x:v>ממצא במקרה</x:v>
      </x:c>
      <x:c r="E4" s="54" t="str">
        <x:v>חשיבות במקרה</x:v>
      </x:c>
      <x:c r="F4" s="54" t="str">
        <x:v>היגיון למשוב</x:v>
      </x:c>
      <x:c r="G4" s="54" t="str">
        <x:v>סטטוס</x:v>
      </x:c>
      <x:c r="H4" s="25" t="str">
        <x:v>הערות הפעלה</x:v>
      </x:c>
    </x:row>
    <x:row r="5">
      <x:c r="A5" s="45" t="str">
        <x:v>CASE-001-PE-001</x:v>
      </x:c>
      <x:c r="B5" s="64" t="str">
        <x:v>PE-001</x:v>
      </x:c>
      <x:c r="C5" s="64" t="str">
        <x:v>מראה כללי וסימני מצוקה</x:v>
      </x:c>
      <x:c r="D5" s="64" t="str">
        <x:v>נראה רגוע ובמצב כללי טוב; כעת ללא כאב או סימני מצוקה.</x:v>
      </x:c>
      <x:c r="E5" s="64" t="str">
        <x:v>חיוני במקרה</x:v>
      </x:c>
      <x:c r="F5" s="64" t="str">
        <x:v>מראה כללי וסימני מצוקה נחוץ להבנת התמונה, לבטיחות, להערכת הסיכון או לתכנון הטיפול.</x:v>
      </x:c>
      <x:c r="G5" s="64" t="str">
        <x:v>מאושר</x:v>
      </x:c>
      <x:c r="H5" s="46" t="str">
        <x:v>ממצא קבוע בתיק המטופל.</x:v>
      </x:c>
    </x:row>
    <x:row r="6">
      <x:c r="A6" s="47" t="str">
        <x:v>CASE-001-PE-002</x:v>
      </x:c>
      <x:c r="B6" s="65" t="str">
        <x:v>PE-002</x:v>
      </x:c>
      <x:c r="C6" s="65" t="str">
        <x:v>מצב הכרה והתמצאות</x:v>
      </x:c>
      <x:c r="D6" s="65" t="str">
        <x:v>בהכרה מלאה, ערני ומתמצא בזמן, במקום ובמצב.</x:v>
      </x:c>
      <x:c r="E6" s="65" t="str">
        <x:v>חיוני במקרה</x:v>
      </x:c>
      <x:c r="F6" s="65" t="str">
        <x:v>מצב הכרה והתמצאות נחוץ להבנת התמונה, לבטיחות, להערכת הסיכון או לתכנון הטיפול.</x:v>
      </x:c>
      <x:c r="G6" s="65" t="str">
        <x:v>מאושר</x:v>
      </x:c>
      <x:c r="H6" s="48" t="str">
        <x:v>ממצא קבוע בתיק המטופל.</x:v>
      </x:c>
    </x:row>
    <x:row r="7">
      <x:c r="A7" s="47" t="str">
        <x:v>CASE-001-PE-003</x:v>
      </x:c>
      <x:c r="B7" s="65" t="str">
        <x:v>PE-003</x:v>
      </x:c>
      <x:c r="C7" s="65" t="str">
        <x:v>תנוחת המטופל ויכולת לדבר</x:v>
      </x:c>
      <x:c r="D7" s="65" t="str">
        <x:v>יושב בנוחות ומדבר במשפטים מלאים ללא קושי.</x:v>
      </x:c>
      <x:c r="E7" s="65" t="str">
        <x:v>חשוב</x:v>
      </x:c>
      <x:c r="F7" s="65" t="str">
        <x:v>תנוחת המטופל ויכולת לדבר עשוי לחזק את ההערכה ולשפר את התכנון הקליני.</x:v>
      </x:c>
      <x:c r="G7" s="65" t="str">
        <x:v>מאושר</x:v>
      </x:c>
      <x:c r="H7" s="48" t="str">
        <x:v>ממצא קבוע בתיק המטופל.</x:v>
      </x:c>
    </x:row>
    <x:row r="8">
      <x:c r="A8" s="47" t="str">
        <x:v>CASE-001-PE-004</x:v>
      </x:c>
      <x:c r="B8" s="65" t="str">
        <x:v>PE-004</x:v>
      </x:c>
      <x:c r="C8" s="65" t="str">
        <x:v>מבנה גוף ומצב תזונתי</x:v>
      </x:c>
      <x:c r="D8" s="65" t="str">
        <x:v>מבנה גוף עם עודף משקל; ללא סימני תת-תזונה.</x:v>
      </x:c>
      <x:c r="E8" s="65" t="str">
        <x:v>חשוב</x:v>
      </x:c>
      <x:c r="F8" s="65" t="str">
        <x:v>מבנה גוף ומצב תזונתי עשוי לחזק את ההערכה ולשפר את התכנון הקליני.</x:v>
      </x:c>
      <x:c r="G8" s="65" t="str">
        <x:v>מאושר</x:v>
      </x:c>
      <x:c r="H8" s="48" t="str">
        <x:v>ממצא קבוע בתיק המטופל.</x:v>
      </x:c>
    </x:row>
    <x:row r="9">
      <x:c r="A9" s="47" t="str">
        <x:v>CASE-001-PE-005</x:v>
      </x:c>
      <x:c r="B9" s="65" t="str">
        <x:v>PE-005</x:v>
      </x:c>
      <x:c r="C9" s="65" t="str">
        <x:v>קצב הדופק</x:v>
      </x:c>
      <x:c r="D9" s="65" t="str">
        <x:v>78 פעימות בדקה.</x:v>
      </x:c>
      <x:c r="E9" s="65" t="str">
        <x:v>חיוני במקרה</x:v>
      </x:c>
      <x:c r="F9" s="65" t="str">
        <x:v>קצב הדופק נחוץ להבנת התמונה, לבטיחות, להערכת הסיכון או לתכנון הטיפול.</x:v>
      </x:c>
      <x:c r="G9" s="65" t="str">
        <x:v>מאושר</x:v>
      </x:c>
      <x:c r="H9" s="48" t="str">
        <x:v>ממצא קבוע בתיק המטופל.</x:v>
      </x:c>
    </x:row>
    <x:row r="10">
      <x:c r="A10" s="47" t="str">
        <x:v>CASE-001-PE-006</x:v>
      </x:c>
      <x:c r="B10" s="65" t="str">
        <x:v>PE-006</x:v>
      </x:c>
      <x:c r="C10" s="65" t="str">
        <x:v>סדירות הדופק</x:v>
      </x:c>
      <x:c r="D10" s="65" t="str">
        <x:v>הדופק סדיר.</x:v>
      </x:c>
      <x:c r="E10" s="65" t="str">
        <x:v>חיוני במקרה</x:v>
      </x:c>
      <x:c r="F10" s="65" t="str">
        <x:v>סדירות הדופק נחוץ להבנת התמונה, לבטיחות, להערכת הסיכון או לתכנון הטיפול.</x:v>
      </x:c>
      <x:c r="G10" s="65" t="str">
        <x:v>מאושר</x:v>
      </x:c>
      <x:c r="H10" s="48" t="str">
        <x:v>ממצא קבוע בתיק המטופל.</x:v>
      </x:c>
    </x:row>
    <x:row r="11">
      <x:c r="A11" s="47" t="str">
        <x:v>CASE-001-PE-007</x:v>
      </x:c>
      <x:c r="B11" s="65" t="str">
        <x:v>PE-007</x:v>
      </x:c>
      <x:c r="C11" s="65" t="str">
        <x:v>עוצמת הדופק</x:v>
      </x:c>
      <x:c r="D11" s="65" t="str">
        <x:v>עוצמת הדופק תקינה.</x:v>
      </x:c>
      <x:c r="E11" s="65" t="str">
        <x:v>משלים</x:v>
      </x:c>
      <x:c r="F11" s="65" t="str">
        <x:v>עוצמת הדופק עשוי להשלים את התמונה בהתאם למסלול הבירור.</x:v>
      </x:c>
      <x:c r="G11" s="65" t="str">
        <x:v>מאושר</x:v>
      </x:c>
      <x:c r="H11" s="48" t="str">
        <x:v>ממצא קבוע בתיק המטופל.</x:v>
      </x:c>
    </x:row>
    <x:row r="12">
      <x:c r="A12" s="47" t="str">
        <x:v>CASE-001-PE-008</x:v>
      </x:c>
      <x:c r="B12" s="65" t="str">
        <x:v>PE-008</x:v>
      </x:c>
      <x:c r="C12" s="65" t="str">
        <x:v>השוואת דפקים בין הצדדים</x:v>
      </x:c>
      <x:c r="D12" s="65" t="str">
        <x:v>הדפקים שווים בין הצדדים.</x:v>
      </x:c>
      <x:c r="E12" s="65" t="str">
        <x:v>חשוב</x:v>
      </x:c>
      <x:c r="F12" s="65" t="str">
        <x:v>השוואת דפקים בין הצדדים עשוי לחזק את ההערכה ולשפר את התכנון הקליני.</x:v>
      </x:c>
      <x:c r="G12" s="65" t="str">
        <x:v>מאושר</x:v>
      </x:c>
      <x:c r="H12" s="48" t="str">
        <x:v>ממצא קבוע בתיק המטופל.</x:v>
      </x:c>
    </x:row>
    <x:row r="13">
      <x:c r="A13" s="47" t="str">
        <x:v>CASE-001-PE-009</x:v>
      </x:c>
      <x:c r="B13" s="65" t="str">
        <x:v>PE-009</x:v>
      </x:c>
      <x:c r="C13" s="65" t="str">
        <x:v>לחץ דם</x:v>
      </x:c>
      <x:c r="D13" s="65" t="str">
        <x:v>150/94 ממ״כ.</x:v>
      </x:c>
      <x:c r="E13" s="65" t="str">
        <x:v>חיוני במקרה</x:v>
      </x:c>
      <x:c r="F13" s="65" t="str">
        <x:v>לחץ הדם חריג ותואם גורם סיכון שאינו מאוזן.</x:v>
      </x:c>
      <x:c r="G13" s="65" t="str">
        <x:v>מאושר</x:v>
      </x:c>
      <x:c r="H13" s="48" t="str">
        <x:v>ממצא קבוע בתיק המטופל.</x:v>
      </x:c>
    </x:row>
    <x:row r="14">
      <x:c r="A14" s="47" t="str">
        <x:v>CASE-001-PE-010</x:v>
      </x:c>
      <x:c r="B14" s="65" t="str">
        <x:v>PE-010</x:v>
      </x:c>
      <x:c r="C14" s="65" t="str">
        <x:v>מספר הנשימות</x:v>
      </x:c>
      <x:c r="D14" s="65" t="str">
        <x:v>16 נשימות בדקה.</x:v>
      </x:c>
      <x:c r="E14" s="65" t="str">
        <x:v>חשוב</x:v>
      </x:c>
      <x:c r="F14" s="65" t="str">
        <x:v>מספר הנשימות עשוי לחזק את ההערכה ולשפר את התכנון הקליני.</x:v>
      </x:c>
      <x:c r="G14" s="65" t="str">
        <x:v>מאושר</x:v>
      </x:c>
      <x:c r="H14" s="48" t="str">
        <x:v>ממצא קבוע בתיק המטופל.</x:v>
      </x:c>
    </x:row>
    <x:row r="15">
      <x:c r="A15" s="47" t="str">
        <x:v>CASE-001-PE-011</x:v>
      </x:c>
      <x:c r="B15" s="65" t="str">
        <x:v>PE-011</x:v>
      </x:c>
      <x:c r="C15" s="65" t="str">
        <x:v>אופי ודפוס הנשימה</x:v>
      </x:c>
      <x:c r="D15" s="65" t="str">
        <x:v>נשימה רגילה, שקטה וללא מאמץ.</x:v>
      </x:c>
      <x:c r="E15" s="65" t="str">
        <x:v>חשוב</x:v>
      </x:c>
      <x:c r="F15" s="65" t="str">
        <x:v>אופי ודפוס הנשימה עשוי לחזק את ההערכה ולשפר את התכנון הקליני.</x:v>
      </x:c>
      <x:c r="G15" s="65" t="str">
        <x:v>מאושר</x:v>
      </x:c>
      <x:c r="H15" s="48" t="str">
        <x:v>ממצא קבוע בתיק המטופל.</x:v>
      </x:c>
    </x:row>
    <x:row r="16">
      <x:c r="A16" s="47" t="str">
        <x:v>CASE-001-PE-012</x:v>
      </x:c>
      <x:c r="B16" s="65" t="str">
        <x:v>PE-012</x:v>
      </x:c>
      <x:c r="C16" s="65" t="str">
        <x:v>טמפרטורת גוף</x:v>
      </x:c>
      <x:c r="D16" s="65" t="str">
        <x:v>36.7°C.</x:v>
      </x:c>
      <x:c r="E16" s="65" t="str">
        <x:v>משלים</x:v>
      </x:c>
      <x:c r="F16" s="65" t="str">
        <x:v>טמפרטורת גוף עשוי להשלים את התמונה בהתאם למסלול הבירור.</x:v>
      </x:c>
      <x:c r="G16" s="65" t="str">
        <x:v>מאושר</x:v>
      </x:c>
      <x:c r="H16" s="48" t="str">
        <x:v>ממצא קבוע בתיק המטופל.</x:v>
      </x:c>
    </x:row>
    <x:row r="17">
      <x:c r="A17" s="47" t="str">
        <x:v>CASE-001-PE-013</x:v>
      </x:c>
      <x:c r="B17" s="65" t="str">
        <x:v>PE-013</x:v>
      </x:c>
      <x:c r="C17" s="65" t="str">
        <x:v>סטורציית חמצן</x:v>
      </x:c>
      <x:c r="D17" s="65" t="str">
        <x:v>98% באוויר חדר.</x:v>
      </x:c>
      <x:c r="E17" s="65" t="str">
        <x:v>חשוב</x:v>
      </x:c>
      <x:c r="F17" s="65" t="str">
        <x:v>סטורציית חמצן עשוי לחזק את ההערכה ולשפר את התכנון הקליני.</x:v>
      </x:c>
      <x:c r="G17" s="65" t="str">
        <x:v>מאושר</x:v>
      </x:c>
      <x:c r="H17" s="48" t="str">
        <x:v>ממצא קבוע בתיק המטופל.</x:v>
      </x:c>
    </x:row>
    <x:row r="18">
      <x:c r="A18" s="47" t="str">
        <x:v>CASE-001-PE-014</x:v>
      </x:c>
      <x:c r="B18" s="65" t="str">
        <x:v>PE-014</x:v>
      </x:c>
      <x:c r="C18" s="65" t="str">
        <x:v>משקל נוכחי</x:v>
      </x:c>
      <x:c r="D18" s="65" t="str">
        <x:v>88 ק״ג.</x:v>
      </x:c>
      <x:c r="E18" s="65" t="str">
        <x:v>חשוב</x:v>
      </x:c>
      <x:c r="F18" s="65" t="str">
        <x:v>משקל נוכחי עשוי לחזק את ההערכה ולשפר את התכנון הקליני.</x:v>
      </x:c>
      <x:c r="G18" s="65" t="str">
        <x:v>מאושר</x:v>
      </x:c>
      <x:c r="H18" s="48" t="str">
        <x:v>ממצא קבוע בתיק המטופל.</x:v>
      </x:c>
    </x:row>
    <x:row r="19">
      <x:c r="A19" s="47" t="str">
        <x:v>CASE-001-PE-015</x:v>
      </x:c>
      <x:c r="B19" s="65" t="str">
        <x:v>PE-015</x:v>
      </x:c>
      <x:c r="C19" s="65" t="str">
        <x:v>חיוורון או כחלון</x:v>
      </x:c>
      <x:c r="D19" s="65" t="str">
        <x:v>ללא חיוורון או כחלון.</x:v>
      </x:c>
      <x:c r="E19" s="65" t="str">
        <x:v>חשוב</x:v>
      </x:c>
      <x:c r="F19" s="65" t="str">
        <x:v>חיוורון או כחלון עשוי לחזק את ההערכה ולשפר את התכנון הקליני.</x:v>
      </x:c>
      <x:c r="G19" s="65" t="str">
        <x:v>מאושר</x:v>
      </x:c>
      <x:c r="H19" s="48" t="str">
        <x:v>ממצא קבוע בתיק המטופל.</x:v>
      </x:c>
    </x:row>
    <x:row r="20">
      <x:c r="A20" s="47" t="str">
        <x:v>CASE-001-PE-016</x:v>
      </x:c>
      <x:c r="B20" s="65" t="str">
        <x:v>PE-016</x:v>
      </x:c>
      <x:c r="C20" s="65" t="str">
        <x:v>הזעה קרה</x:v>
      </x:c>
      <x:c r="D20" s="65" t="str">
        <x:v>ללא הזעה קרה.</x:v>
      </x:c>
      <x:c r="E20" s="65" t="str">
        <x:v>חשוב</x:v>
      </x:c>
      <x:c r="F20" s="65" t="str">
        <x:v>הזעה קרה עשוי לחזק את ההערכה ולשפר את התכנון הקליני.</x:v>
      </x:c>
      <x:c r="G20" s="65" t="str">
        <x:v>מאושר</x:v>
      </x:c>
      <x:c r="H20" s="48" t="str">
        <x:v>ממצא קבוע בתיק המטופל.</x:v>
      </x:c>
    </x:row>
    <x:row r="21">
      <x:c r="A21" s="47" t="str">
        <x:v>CASE-001-PE-017</x:v>
      </x:c>
      <x:c r="B21" s="65" t="str">
        <x:v>PE-017</x:v>
      </x:c>
      <x:c r="C21" s="65" t="str">
        <x:v>חום הגפיים</x:v>
      </x:c>
      <x:c r="D21" s="65" t="str">
        <x:v>הגפיים חמות.</x:v>
      </x:c>
      <x:c r="E21" s="65" t="str">
        <x:v>חשוב</x:v>
      </x:c>
      <x:c r="F21" s="65" t="str">
        <x:v>חום הגפיים עשוי לחזק את ההערכה ולשפר את התכנון הקליני.</x:v>
      </x:c>
      <x:c r="G21" s="65" t="str">
        <x:v>מאושר</x:v>
      </x:c>
      <x:c r="H21" s="48" t="str">
        <x:v>ממצא קבוע בתיק המטופל.</x:v>
      </x:c>
    </x:row>
    <x:row r="22">
      <x:c r="A22" s="47" t="str">
        <x:v>CASE-001-PE-018</x:v>
      </x:c>
      <x:c r="B22" s="65" t="str">
        <x:v>PE-018</x:v>
      </x:c>
      <x:c r="C22" s="65" t="str">
        <x:v>זמן מילוי קפילרי</x:v>
      </x:c>
      <x:c r="D22" s="65" t="str">
        <x:v>מילוי קפילרי תקין, פחות משתי שניות.</x:v>
      </x:c>
      <x:c r="E22" s="65" t="str">
        <x:v>חשוב</x:v>
      </x:c>
      <x:c r="F22" s="65" t="str">
        <x:v>זמן מילוי קפילרי עשוי לחזק את ההערכה ולשפר את התכנון הקליני.</x:v>
      </x:c>
      <x:c r="G22" s="65" t="str">
        <x:v>מאושר</x:v>
      </x:c>
      <x:c r="H22" s="48" t="str">
        <x:v>ממצא קבוע בתיק המטופל.</x:v>
      </x:c>
    </x:row>
    <x:row r="23">
      <x:c r="A23" s="47" t="str">
        <x:v>CASE-001-PE-019</x:v>
      </x:c>
      <x:c r="B23" s="65" t="str">
        <x:v>PE-019</x:v>
      </x:c>
      <x:c r="C23" s="65" t="str">
        <x:v>פריחה או נגעים</x:v>
      </x:c>
      <x:c r="D23" s="65" t="str">
        <x:v>ללא פריחה או נגעי עור משמעותיים.</x:v>
      </x:c>
      <x:c r="E23" s="65" t="str">
        <x:v>בדרך כלל לא מרכזי</x:v>
      </x:c>
      <x:c r="F23" s="65" t="str">
        <x:v>פריחה או נגעים לגיטימי, אך תרומתו נמוכה במקרה זה ללא רמז מכוון.</x:v>
      </x:c>
      <x:c r="G23" s="65" t="str">
        <x:v>מאושר</x:v>
      </x:c>
      <x:c r="H23" s="48" t="str">
        <x:v>ממצא קבוע בתיק המטופל.</x:v>
      </x:c>
    </x:row>
    <x:row r="24">
      <x:c r="A24" s="47" t="str">
        <x:v>CASE-001-PE-020</x:v>
      </x:c>
      <x:c r="B24" s="65" t="str">
        <x:v>PE-020</x:v>
      </x:c>
      <x:c r="C24" s="65" t="str">
        <x:v>שטפי דם או סימני דימום</x:v>
      </x:c>
      <x:c r="D24" s="65" t="str">
        <x:v>ללא שטפי דם או סימני דימום.</x:v>
      </x:c>
      <x:c r="E24" s="65" t="str">
        <x:v>בדרך כלל לא מרכזי</x:v>
      </x:c>
      <x:c r="F24" s="65" t="str">
        <x:v>שטפי דם או סימני דימום לגיטימי, אך תרומתו נמוכה במקרה זה ללא רמז מכוון.</x:v>
      </x:c>
      <x:c r="G24" s="65" t="str">
        <x:v>מאושר</x:v>
      </x:c>
      <x:c r="H24" s="48" t="str">
        <x:v>ממצא קבוע בתיק המטופל.</x:v>
      </x:c>
    </x:row>
    <x:row r="25">
      <x:c r="A25" s="47" t="str">
        <x:v>CASE-001-PE-021</x:v>
      </x:c>
      <x:c r="B25" s="65" t="str">
        <x:v>PE-021</x:v>
      </x:c>
      <x:c r="C25" s="65" t="str">
        <x:v>צבע הלחמיות</x:v>
      </x:c>
      <x:c r="D25" s="65" t="str">
        <x:v>הלחמיות בצבע תקין ואינן חיוורות.</x:v>
      </x:c>
      <x:c r="E25" s="65" t="str">
        <x:v>משלים</x:v>
      </x:c>
      <x:c r="F25" s="65" t="str">
        <x:v>צבע הלחמיות עשוי להשלים את התמונה בהתאם למסלול הבירור.</x:v>
      </x:c>
      <x:c r="G25" s="65" t="str">
        <x:v>מאושר</x:v>
      </x:c>
      <x:c r="H25" s="48" t="str">
        <x:v>ממצא קבוע בתיק המטופל.</x:v>
      </x:c>
    </x:row>
    <x:row r="26">
      <x:c r="A26" s="47" t="str">
        <x:v>CASE-001-PE-022</x:v>
      </x:c>
      <x:c r="B26" s="65" t="str">
        <x:v>PE-022</x:v>
      </x:c>
      <x:c r="C26" s="65" t="str">
        <x:v>לחות ריריות הפה</x:v>
      </x:c>
      <x:c r="D26" s="65" t="str">
        <x:v>ריריות הפה לחות.</x:v>
      </x:c>
      <x:c r="E26" s="65" t="str">
        <x:v>בדרך כלל לא מרכזי</x:v>
      </x:c>
      <x:c r="F26" s="65" t="str">
        <x:v>לחות ריריות הפה לגיטימי, אך תרומתו נמוכה במקרה זה ללא רמז מכוון.</x:v>
      </x:c>
      <x:c r="G26" s="65" t="str">
        <x:v>מאושר</x:v>
      </x:c>
      <x:c r="H26" s="48" t="str">
        <x:v>ממצא קבוע בתיק המטופל.</x:v>
      </x:c>
    </x:row>
    <x:row r="27">
      <x:c r="A27" s="47" t="str">
        <x:v>CASE-001-PE-023</x:v>
      </x:c>
      <x:c r="B27" s="65" t="str">
        <x:v>PE-023</x:v>
      </x:c>
      <x:c r="C27" s="65" t="str">
        <x:v>גודש ורידי צוואר</x:v>
      </x:c>
      <x:c r="D27" s="65" t="str">
        <x:v>אין גודש בוורידי הצוואר.</x:v>
      </x:c>
      <x:c r="E27" s="65" t="str">
        <x:v>חשוב</x:v>
      </x:c>
      <x:c r="F27" s="65" t="str">
        <x:v>גודש ורידי צוואר עשוי לחזק את ההערכה ולשפר את התכנון הקליני.</x:v>
      </x:c>
      <x:c r="G27" s="65" t="str">
        <x:v>מאושר</x:v>
      </x:c>
      <x:c r="H27" s="48" t="str">
        <x:v>ממצא קבוע בתיק המטופל.</x:v>
      </x:c>
    </x:row>
    <x:row r="28">
      <x:c r="A28" s="47" t="str">
        <x:v>CASE-001-PE-024</x:v>
      </x:c>
      <x:c r="B28" s="65" t="str">
        <x:v>PE-024</x:v>
      </x:c>
      <x:c r="C28" s="65" t="str">
        <x:v>גודל ומבנה בלוטת התריס</x:v>
      </x:c>
      <x:c r="D28" s="65" t="str">
        <x:v>בלוטת התריס אינה מוגדלת וללא ממצא חריג במישוש.</x:v>
      </x:c>
      <x:c r="E28" s="65" t="str">
        <x:v>משלים</x:v>
      </x:c>
      <x:c r="F28" s="65" t="str">
        <x:v>גודל ומבנה בלוטת התריס עשוי להשלים את התמונה בהתאם למסלול הבירור.</x:v>
      </x:c>
      <x:c r="G28" s="65" t="str">
        <x:v>מאושר</x:v>
      </x:c>
      <x:c r="H28" s="48" t="str">
        <x:v>ממצא קבוע בתיק המטופל.</x:v>
      </x:c>
    </x:row>
    <x:row r="29">
      <x:c r="A29" s="47" t="str">
        <x:v>CASE-001-PE-025</x:v>
      </x:c>
      <x:c r="B29" s="65" t="str">
        <x:v>PE-025</x:v>
      </x:c>
      <x:c r="C29" s="65" t="str">
        <x:v>מיקום קנה הנשימה</x:v>
      </x:c>
      <x:c r="D29" s="65" t="str">
        <x:v>קנה הנשימה במרכז.</x:v>
      </x:c>
      <x:c r="E29" s="65" t="str">
        <x:v>בדרך כלל לא מרכזי</x:v>
      </x:c>
      <x:c r="F29" s="65" t="str">
        <x:v>מיקום קנה הנשימה לגיטימי, אך תרומתו נמוכה במקרה זה ללא רמז מכוון.</x:v>
      </x:c>
      <x:c r="G29" s="65" t="str">
        <x:v>מאושר</x:v>
      </x:c>
      <x:c r="H29" s="48" t="str">
        <x:v>ממצא קבוע בתיק המטופל.</x:v>
      </x:c>
    </x:row>
    <x:row r="30">
      <x:c r="A30" s="47" t="str">
        <x:v>CASE-001-PE-026</x:v>
      </x:c>
      <x:c r="B30" s="65" t="str">
        <x:v>PE-026</x:v>
      </x:c>
      <x:c r="C30" s="65" t="str">
        <x:v>כניסת אוויר דו-צדדית</x:v>
      </x:c>
      <x:c r="D30" s="65" t="str">
        <x:v>כניסת אוויר טובה ושווה לשתי הריאות.</x:v>
      </x:c>
      <x:c r="E30" s="65" t="str">
        <x:v>חיוני במקרה</x:v>
      </x:c>
      <x:c r="F30" s="65" t="str">
        <x:v>כניסת אוויר דו-צדדית נחוץ להבנת התמונה, לבטיחות, להערכת הסיכון או לתכנון הטיפול.</x:v>
      </x:c>
      <x:c r="G30" s="65" t="str">
        <x:v>מאושר</x:v>
      </x:c>
      <x:c r="H30" s="48" t="str">
        <x:v>ממצא קבוע בתיק המטופל.</x:v>
      </x:c>
    </x:row>
    <x:row r="31">
      <x:c r="A31" s="47" t="str">
        <x:v>CASE-001-PE-027</x:v>
      </x:c>
      <x:c r="B31" s="65" t="str">
        <x:v>PE-027</x:v>
      </x:c>
      <x:c r="C31" s="65" t="str">
        <x:v>חרחורים</x:v>
      </x:c>
      <x:c r="D31" s="65" t="str">
        <x:v>ללא חרחורים.</x:v>
      </x:c>
      <x:c r="E31" s="65" t="str">
        <x:v>חיוני במקרה</x:v>
      </x:c>
      <x:c r="F31" s="65" t="str">
        <x:v>היעדר חרחורים מפחית תמיכה בגודש ריאתי.</x:v>
      </x:c>
      <x:c r="G31" s="65" t="str">
        <x:v>מאושר</x:v>
      </x:c>
      <x:c r="H31" s="48" t="str">
        <x:v>ממצא קבוע בתיק המטופל.</x:v>
      </x:c>
    </x:row>
    <x:row r="32">
      <x:c r="A32" s="47" t="str">
        <x:v>CASE-001-PE-028</x:v>
      </x:c>
      <x:c r="B32" s="65" t="str">
        <x:v>PE-028</x:v>
      </x:c>
      <x:c r="C32" s="65" t="str">
        <x:v>צפצופים</x:v>
      </x:c>
      <x:c r="D32" s="65" t="str">
        <x:v>ללא צפצופים.</x:v>
      </x:c>
      <x:c r="E32" s="65" t="str">
        <x:v>חיוני במקרה</x:v>
      </x:c>
      <x:c r="F32" s="65" t="str">
        <x:v>צפצופים נחוץ להבנת התמונה, לבטיחות, להערכת הסיכון או לתכנון הטיפול.</x:v>
      </x:c>
      <x:c r="G32" s="65" t="str">
        <x:v>מאושר</x:v>
      </x:c>
      <x:c r="H32" s="48" t="str">
        <x:v>ממצא קבוע בתיק המטופל.</x:v>
      </x:c>
    </x:row>
    <x:row r="33">
      <x:c r="A33" s="47" t="str">
        <x:v>CASE-001-PE-029</x:v>
      </x:c>
      <x:c r="B33" s="65" t="str">
        <x:v>PE-029</x:v>
      </x:c>
      <x:c r="C33" s="65" t="str">
        <x:v>שימוש בשרירי עזר ורטרקציות</x:v>
      </x:c>
      <x:c r="D33" s="65" t="str">
        <x:v>ללא שימוש בשרירי עזר וללא רטרקציות.</x:v>
      </x:c>
      <x:c r="E33" s="65" t="str">
        <x:v>חשוב</x:v>
      </x:c>
      <x:c r="F33" s="65" t="str">
        <x:v>שימוש בשרירי עזר ורטרקציות עשוי לחזק את ההערכה ולשפר את התכנון הקליני.</x:v>
      </x:c>
      <x:c r="G33" s="65" t="str">
        <x:v>מאושר</x:v>
      </x:c>
      <x:c r="H33" s="48" t="str">
        <x:v>ממצא קבוע בתיק המטופל.</x:v>
      </x:c>
    </x:row>
    <x:row r="34">
      <x:c r="A34" s="47" t="str">
        <x:v>CASE-001-PE-030</x:v>
      </x:c>
      <x:c r="B34" s="65" t="str">
        <x:v>PE-030</x:v>
      </x:c>
      <x:c r="C34" s="65" t="str">
        <x:v>קולות לב בסיסיים</x:v>
      </x:c>
      <x:c r="D34" s="65" t="str">
        <x:v>קולות לב בסיסיים תקינים; S1 ו-S2 נשמעים היטב.</x:v>
      </x:c>
      <x:c r="E34" s="65" t="str">
        <x:v>חיוני במקרה</x:v>
      </x:c>
      <x:c r="F34" s="65" t="str">
        <x:v>קולות לב בסיסיים נחוץ להבנת התמונה, לבטיחות, להערכת הסיכון או לתכנון הטיפול.</x:v>
      </x:c>
      <x:c r="G34" s="65" t="str">
        <x:v>מאושר</x:v>
      </x:c>
      <x:c r="H34" s="48" t="str">
        <x:v>ממצא קבוע בתיק המטופל.</x:v>
      </x:c>
    </x:row>
    <x:row r="35">
      <x:c r="A35" s="47" t="str">
        <x:v>CASE-001-PE-031</x:v>
      </x:c>
      <x:c r="B35" s="65" t="str">
        <x:v>PE-031</x:v>
      </x:c>
      <x:c r="C35" s="65" t="str">
        <x:v>קולות לב נוספים</x:v>
      </x:c>
      <x:c r="D35" s="65" t="str">
        <x:v>ללא קולות לב נוספים.</x:v>
      </x:c>
      <x:c r="E35" s="65" t="str">
        <x:v>חשוב</x:v>
      </x:c>
      <x:c r="F35" s="65" t="str">
        <x:v>קולות לב נוספים עשוי לחזק את ההערכה ולשפר את התכנון הקליני.</x:v>
      </x:c>
      <x:c r="G35" s="65" t="str">
        <x:v>מאושר</x:v>
      </x:c>
      <x:c r="H35" s="48" t="str">
        <x:v>ממצא קבוע בתיק המטופל.</x:v>
      </x:c>
    </x:row>
    <x:row r="36">
      <x:c r="A36" s="47" t="str">
        <x:v>CASE-001-PE-032</x:v>
      </x:c>
      <x:c r="B36" s="65" t="str">
        <x:v>PE-032</x:v>
      </x:c>
      <x:c r="C36" s="65" t="str">
        <x:v>אוושה</x:v>
      </x:c>
      <x:c r="D36" s="65" t="str">
        <x:v>ללא אוושה.</x:v>
      </x:c>
      <x:c r="E36" s="65" t="str">
        <x:v>חשוב</x:v>
      </x:c>
      <x:c r="F36" s="65" t="str">
        <x:v>אוושה עשוי לחזק את ההערכה ולשפר את התכנון הקליני.</x:v>
      </x:c>
      <x:c r="G36" s="65" t="str">
        <x:v>מאושר</x:v>
      </x:c>
      <x:c r="H36" s="48" t="str">
        <x:v>ממצא קבוע בתיק המטופל.</x:v>
      </x:c>
    </x:row>
    <x:row r="37">
      <x:c r="A37" s="47" t="str">
        <x:v>CASE-001-PE-033</x:v>
      </x:c>
      <x:c r="B37" s="65" t="str">
        <x:v>PE-033</x:v>
      </x:c>
      <x:c r="C37" s="65" t="str">
        <x:v>מיקום נקודת חוד הלב</x:v>
      </x:c>
      <x:c r="D37" s="65" t="str">
        <x:v>נקודת חוד הלב אינה מוסטת.</x:v>
      </x:c>
      <x:c r="E37" s="65" t="str">
        <x:v>משלים</x:v>
      </x:c>
      <x:c r="F37" s="65" t="str">
        <x:v>מיקום נקודת חוד הלב עשוי להשלים את התמונה בהתאם למסלול הבירור.</x:v>
      </x:c>
      <x:c r="G37" s="65" t="str">
        <x:v>מאושר</x:v>
      </x:c>
      <x:c r="H37" s="48" t="str">
        <x:v>ממצא קבוע בתיק המטופל.</x:v>
      </x:c>
    </x:row>
    <x:row r="38">
      <x:c r="A38" s="47" t="str">
        <x:v>CASE-001-PE-034</x:v>
      </x:c>
      <x:c r="B38" s="65" t="str">
        <x:v>PE-034</x:v>
      </x:c>
      <x:c r="C38" s="65" t="str">
        <x:v>רגישות דופן בית החזה</x:v>
      </x:c>
      <x:c r="D38" s="65" t="str">
        <x:v>אין רגישות במישוש דופן בית החזה והכאב אינו מופק בלחיצה.</x:v>
      </x:c>
      <x:c r="E38" s="65" t="str">
        <x:v>חשוב</x:v>
      </x:c>
      <x:c r="F38" s="65" t="str">
        <x:v>רגישות דופן בית החזה עשוי לחזק את ההערכה ולשפר את התכנון הקליני.</x:v>
      </x:c>
      <x:c r="G38" s="65" t="str">
        <x:v>מאושר</x:v>
      </x:c>
      <x:c r="H38" s="48" t="str">
        <x:v>ממצא קבוע בתיק המטופל.</x:v>
      </x:c>
    </x:row>
    <x:row r="39">
      <x:c r="A39" s="47" t="str">
        <x:v>CASE-001-PE-035</x:v>
      </x:c>
      <x:c r="B39" s="65" t="str">
        <x:v>PE-035</x:v>
      </x:c>
      <x:c r="C39" s="65" t="str">
        <x:v>קולות פריסטלטיקה</x:v>
      </x:c>
      <x:c r="D39" s="65" t="str">
        <x:v>קולות פריסטלטיקה תקינים.</x:v>
      </x:c>
      <x:c r="E39" s="65" t="str">
        <x:v>בדרך כלל לא מרכזי</x:v>
      </x:c>
      <x:c r="F39" s="65" t="str">
        <x:v>קולות פריסטלטיקה לגיטימי, אך תרומתו נמוכה במקרה זה ללא רמז מכוון.</x:v>
      </x:c>
      <x:c r="G39" s="65" t="str">
        <x:v>מאושר</x:v>
      </x:c>
      <x:c r="H39" s="48" t="str">
        <x:v>ממצא קבוע בתיק המטופל.</x:v>
      </x:c>
    </x:row>
    <x:row r="40">
      <x:c r="A40" s="47" t="str">
        <x:v>CASE-001-PE-036</x:v>
      </x:c>
      <x:c r="B40" s="65" t="str">
        <x:v>PE-036</x:v>
      </x:c>
      <x:c r="C40" s="65" t="str">
        <x:v>נפיחות בטנית או מיימת</x:v>
      </x:c>
      <x:c r="D40" s="65" t="str">
        <x:v>הבטן אינה תפוחה ואין מיימת.</x:v>
      </x:c>
      <x:c r="E40" s="65" t="str">
        <x:v>חשוב</x:v>
      </x:c>
      <x:c r="F40" s="65" t="str">
        <x:v>נפיחות בטנית או מיימת עשוי לחזק את ההערכה ולשפר את התכנון הקליני.</x:v>
      </x:c>
      <x:c r="G40" s="65" t="str">
        <x:v>מאושר</x:v>
      </x:c>
      <x:c r="H40" s="48" t="str">
        <x:v>ממצא קבוע בתיק המטופל.</x:v>
      </x:c>
    </x:row>
    <x:row r="41">
      <x:c r="A41" s="47" t="str">
        <x:v>CASE-001-PE-037</x:v>
      </x:c>
      <x:c r="B41" s="65" t="str">
        <x:v>PE-037</x:v>
      </x:c>
      <x:c r="C41" s="65" t="str">
        <x:v>גודל הכבד ורגישותו</x:v>
      </x:c>
      <x:c r="D41" s="65" t="str">
        <x:v>הכבד אינו מוגדל ואינו רגיש.</x:v>
      </x:c>
      <x:c r="E41" s="65" t="str">
        <x:v>חשוב</x:v>
      </x:c>
      <x:c r="F41" s="65" t="str">
        <x:v>גודל הכבד ורגישותו עשוי לחזק את ההערכה ולשפר את התכנון הקליני.</x:v>
      </x:c>
      <x:c r="G41" s="65" t="str">
        <x:v>מאושר</x:v>
      </x:c>
      <x:c r="H41" s="48" t="str">
        <x:v>ממצא קבוע בתיק המטופל.</x:v>
      </x:c>
    </x:row>
    <x:row r="42">
      <x:c r="A42" s="47" t="str">
        <x:v>CASE-001-PE-038</x:v>
      </x:c>
      <x:c r="B42" s="65" t="str">
        <x:v>PE-038</x:v>
      </x:c>
      <x:c r="C42" s="65" t="str">
        <x:v>רגישות בטנית</x:v>
      </x:c>
      <x:c r="D42" s="65" t="str">
        <x:v>הבטן רכה וללא רגישות.</x:v>
      </x:c>
      <x:c r="E42" s="65" t="str">
        <x:v>משלים</x:v>
      </x:c>
      <x:c r="F42" s="65" t="str">
        <x:v>רגישות בטנית עשוי להשלים את התמונה בהתאם למסלול הבירור.</x:v>
      </x:c>
      <x:c r="G42" s="65" t="str">
        <x:v>מאושר</x:v>
      </x:c>
      <x:c r="H42" s="48" t="str">
        <x:v>ממצא קבוע בתיק המטופל.</x:v>
      </x:c>
    </x:row>
    <x:row r="43">
      <x:c r="A43" s="47" t="str">
        <x:v>CASE-001-PE-039</x:v>
      </x:c>
      <x:c r="B43" s="65" t="str">
        <x:v>PE-039</x:v>
      </x:c>
      <x:c r="C43" s="65" t="str">
        <x:v>נוכחות בצקות</x:v>
      </x:c>
      <x:c r="D43" s="65" t="str">
        <x:v>אין בצקות בגפיים.</x:v>
      </x:c>
      <x:c r="E43" s="65" t="str">
        <x:v>חשוב</x:v>
      </x:c>
      <x:c r="F43" s="65" t="str">
        <x:v>היעדר בצקות מפחית תמיכה באי-ספיקת לב פעילה.</x:v>
      </x:c>
      <x:c r="G43" s="65" t="str">
        <x:v>מאושר</x:v>
      </x:c>
      <x:c r="H43" s="48" t="str">
        <x:v>ממצא קבוע בתיק המטופל.</x:v>
      </x:c>
    </x:row>
    <x:row r="44">
      <x:c r="A44" s="47" t="str">
        <x:v>CASE-001-PE-040</x:v>
      </x:c>
      <x:c r="B44" s="65" t="str">
        <x:v>PE-040</x:v>
      </x:c>
      <x:c r="C44" s="65" t="str">
        <x:v>אופי והיקף הבצקת</x:v>
      </x:c>
      <x:c r="D44" s="65" t="str">
        <x:v>לא רלוונטי בהיעדר בצקת; אין נפיחות או שקע בלחיצה.</x:v>
      </x:c>
      <x:c r="E44" s="65" t="str">
        <x:v>משלים</x:v>
      </x:c>
      <x:c r="F44" s="65" t="str">
        <x:v>אופי והיקף הבצקת עשוי להשלים את התמונה בהתאם למסלול הבירור.</x:v>
      </x:c>
      <x:c r="G44" s="65" t="str">
        <x:v>מאושר</x:v>
      </x:c>
      <x:c r="H44" s="48" t="str">
        <x:v>ממצא קבוע בתיק המטופל.</x:v>
      </x:c>
    </x:row>
    <x:row r="45">
      <x:c r="A45" s="47" t="str">
        <x:v>CASE-001-PE-041</x:v>
      </x:c>
      <x:c r="B45" s="65" t="str">
        <x:v>PE-041</x:v>
      </x:c>
      <x:c r="C45" s="65" t="str">
        <x:v>דליות</x:v>
      </x:c>
      <x:c r="D45" s="65" t="str">
        <x:v>אין דליות משמעותיות.</x:v>
      </x:c>
      <x:c r="E45" s="65" t="str">
        <x:v>בדרך כלל לא מרכזי</x:v>
      </x:c>
      <x:c r="F45" s="65" t="str">
        <x:v>דליות לגיטימי, אך תרומתו נמוכה במקרה זה ללא רמז מכוון.</x:v>
      </x:c>
      <x:c r="G45" s="65" t="str">
        <x:v>מאושר</x:v>
      </x:c>
      <x:c r="H45" s="48" t="str">
        <x:v>ממצא קבוע בתיק המטופל.</x:v>
      </x:c>
    </x:row>
    <x:row r="46">
      <x:c r="A46" s="47" t="str">
        <x:v>CASE-001-PE-042</x:v>
      </x:c>
      <x:c r="B46" s="65" t="str">
        <x:v>PE-042</x:v>
      </x:c>
      <x:c r="C46" s="65" t="str">
        <x:v>דפקים פריפריים</x:v>
      </x:c>
      <x:c r="D46" s="65" t="str">
        <x:v>הדפקים הפריפריים נמושים ושווים.</x:v>
      </x:c>
      <x:c r="E46" s="65" t="str">
        <x:v>חשוב</x:v>
      </x:c>
      <x:c r="F46" s="65" t="str">
        <x:v>דפקים פריפריים עשוי לחזק את ההערכה ולשפר את התכנון הקליני.</x:v>
      </x:c>
      <x:c r="G46" s="65" t="str">
        <x:v>מאושר</x:v>
      </x:c>
      <x:c r="H46" s="48" t="str">
        <x:v>ממצא קבוע בתיק המטופל.</x:v>
      </x:c>
    </x:row>
    <x:row r="47">
      <x:c r="A47" s="47" t="str">
        <x:v>CASE-001-PE-043</x:v>
      </x:c>
      <x:c r="B47" s="65" t="str">
        <x:v>PE-043</x:v>
      </x:c>
      <x:c r="C47" s="65" t="str">
        <x:v>אסימטריה, נפיחות או רגישות בשוק</x:v>
      </x:c>
      <x:c r="D47" s="65" t="str">
        <x:v>אין אסימטריה, נפיחות או רגישות בשוקיים.</x:v>
      </x:c>
      <x:c r="E47" s="65" t="str">
        <x:v>משלים</x:v>
      </x:c>
      <x:c r="F47" s="65" t="str">
        <x:v>אסימטריה, נפיחות או רגישות בשוק עשוי להשלים את התמונה בהתאם למסלול הבירור.</x:v>
      </x:c>
      <x:c r="G47" s="65" t="str">
        <x:v>מאושר</x:v>
      </x:c>
      <x:c r="H47" s="48" t="str">
        <x:v>ממצא קבוע בתיק המטופל.</x:v>
      </x:c>
    </x:row>
    <x:row r="48">
      <x:c r="A48" s="47" t="str">
        <x:v>CASE-001-PE-044</x:v>
      </x:c>
      <x:c r="B48" s="65" t="str">
        <x:v>PE-044</x:v>
      </x:c>
      <x:c r="C48" s="65" t="str">
        <x:v>גודל ותגובת אישונים</x:v>
      </x:c>
      <x:c r="D48" s="65" t="str">
        <x:v>האישונים שווים ומגיבים לאור.</x:v>
      </x:c>
      <x:c r="E48" s="65" t="str">
        <x:v>בדרך כלל לא מרכזי</x:v>
      </x:c>
      <x:c r="F48" s="65" t="str">
        <x:v>גודל ותגובת אישונים לגיטימי, אך תרומתו נמוכה במקרה זה ללא רמז מכוון.</x:v>
      </x:c>
      <x:c r="G48" s="65" t="str">
        <x:v>מאושר</x:v>
      </x:c>
      <x:c r="H48" s="48" t="str">
        <x:v>ממצא קבוע בתיק המטופל.</x:v>
      </x:c>
    </x:row>
    <x:row r="49">
      <x:c r="A49" s="49" t="str">
        <x:v>CASE-001-PE-045</x:v>
      </x:c>
      <x:c r="B49" s="66" t="str">
        <x:v>PE-045</x:v>
      </x:c>
      <x:c r="C49" s="66" t="str">
        <x:v>רפלקסים גידיים</x:v>
      </x:c>
      <x:c r="D49" s="66" t="str">
        <x:v>הרפלקסים הגידיים הבסיסיים תקינים וסימטריים.</x:v>
      </x:c>
      <x:c r="E49" s="66" t="str">
        <x:v>בדרך כלל לא מרכזי</x:v>
      </x:c>
      <x:c r="F49" s="66" t="str">
        <x:v>רפלקסים גידיים לגיטימי, אך תרומתו נמוכה במקרה זה ללא רמז מכוון.</x:v>
      </x:c>
      <x:c r="G49" s="66" t="str">
        <x:v>מאושר</x:v>
      </x:c>
      <x:c r="H49" s="50" t="str">
        <x:v>ממצא קבוע בתיק המטופל.</x:v>
      </x:c>
    </x:row>
  </x:sheetData>
  <x:mergeCells>
    <x:mergeCell ref="A1:H1"/>
    <x:mergeCell ref="A2:H2"/>
  </x:mergeCells>
  <x:conditionalFormatting sqref="E5:E49">
    <x:cfRule type="containsText" dxfId="4" priority="1" operator="containsText" text="חיוני במקרה"/>
    <x:cfRule type="containsText" dxfId="5" priority="2" operator="containsText" text="חשוב"/>
    <x:cfRule type="containsText" dxfId="6" priority="3" operator="containsText" text="משלים"/>
    <x:cfRule type="containsText" dxfId="7" priority="4" operator="containsText" text="בדרך כלל לא מרכזי"/>
  </x:conditionalFormatting>
  <x:dataValidations count="1">
    <x:dataValidation type="list" sqref="E5:E49">
      <x:formula1>"חיוני במקרה,חשוב,משלים,בדרך כלל לא מרכזי"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66b1003c5b40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23.329999923706055" hidden="0" customWidth="1"/>
    <x:col min="4" max="4" width="33.33000183105469" hidden="0" customWidth="1"/>
    <x:col min="5" max="5" width="11.109999656677246" hidden="0" customWidth="1"/>
    <x:col min="6" max="6" width="11.109999656677246" hidden="0" customWidth="1"/>
    <x:col min="7" max="7" width="26.670000076293945" hidden="0" customWidth="1"/>
    <x:col min="8" max="8" width="27.780000686645508" hidden="0" customWidth="1"/>
    <x:col min="9" max="9" width="13.890000343322754" hidden="0" customWidth="1"/>
    <x:col min="10" max="10" width="35.560001373291016" hidden="0" customWidth="1"/>
    <x:col min="11" max="11" width="10" hidden="0" customWidth="1"/>
  </x:cols>
  <x:sheetData>
    <x:row r="1" ht="30" customHeight="1">
      <x:c r="A1" s="4" t="str">
        <x:v>תוצאות בדיקות מיידיות — א׳ ש׳</x:v>
      </x:c>
      <x:c r="B1" s="4" t="str">
        <x:v>תוצאות בדיקות מיידיות — א׳ ש׳</x:v>
      </x:c>
      <x:c r="C1" s="4" t="str">
        <x:v>תוצאות בדיקות מיידיות — א׳ ש׳</x:v>
      </x:c>
      <x:c r="D1" s="4" t="str">
        <x:v>תוצאות בדיקות מיידיות — א׳ ש׳</x:v>
      </x:c>
      <x:c r="E1" s="4" t="str">
        <x:v>תוצאות בדיקות מיידיות — א׳ ש׳</x:v>
      </x:c>
      <x:c r="F1" s="4" t="str">
        <x:v>תוצאות בדיקות מיידיות — א׳ ש׳</x:v>
      </x:c>
      <x:c r="G1" s="4" t="str">
        <x:v>תוצאות בדיקות מיידיות — א׳ ש׳</x:v>
      </x:c>
      <x:c r="H1" s="4" t="str">
        <x:v>תוצאות בדיקות מיידיות — א׳ ש׳</x:v>
      </x:c>
      <x:c r="I1" s="4" t="str">
        <x:v>תוצאות בדיקות מיידיות — א׳ ש׳</x:v>
      </x:c>
      <x:c r="J1" s="4" t="str">
        <x:v>תוצאות בדיקות מיידיות — א׳ ש׳</x:v>
      </x:c>
      <x:c r="K1" s="4" t="str">
        <x:v>תוצאות בדיקות מיידיות — א׳ ש׳</x:v>
      </x:c>
    </x:row>
    <x:row r="2" ht="30" customHeight="1">
      <x:c r="A2" s="9" t="str">
        <x:v>הגדרה, ממצא מילולי ופרשנות בלבד. כל ערך מספרי, יחידה וטווח ייחוס נלקחים בלעדית מתוצאות_מספריות.</x:v>
      </x:c>
      <x:c r="B2" s="9" t="str">
        <x:v>כל תוצאה מספרית כוללת יחידה וטווח ייחוס. הערכים נועדו לסימולציה לימודית ולא לשימוש רפואי אמיתי.</x:v>
      </x:c>
      <x:c r="C2" s="9" t="str">
        <x:v>כל תוצאה מספרית כוללת יחידה וטווח ייחוס. הערכים נועדו לסימולציה לימודית ולא לשימוש רפואי אמיתי.</x:v>
      </x:c>
      <x:c r="D2" s="9" t="str">
        <x:v>כל תוצאה מספרית כוללת יחידה וטווח ייחוס. הערכים נועדו לסימולציה לימודית ולא לשימוש רפואי אמיתי.</x:v>
      </x:c>
      <x:c r="E2" s="9" t="str">
        <x:v>כל תוצאה מספרית כוללת יחידה וטווח ייחוס. הערכים נועדו לסימולציה לימודית ולא לשימוש רפואי אמיתי.</x:v>
      </x:c>
      <x:c r="F2" s="9" t="str">
        <x:v>כל תוצאה מספרית כוללת יחידה וטווח ייחוס. הערכים נועדו לסימולציה לימודית ולא לשימוש רפואי אמיתי.</x:v>
      </x:c>
      <x:c r="G2" s="9" t="str">
        <x:v>כל תוצאה מספרית כוללת יחידה וטווח ייחוס. הערכים נועדו לסימולציה לימודית ולא לשימוש רפואי אמיתי.</x:v>
      </x:c>
      <x:c r="H2" s="9" t="str">
        <x:v>כל תוצאה מספרית כוללת יחידה וטווח ייחוס. הערכים נועדו לסימולציה לימודית ולא לשימוש רפואי אמיתי.</x:v>
      </x:c>
      <x:c r="I2" s="9" t="str">
        <x:v>כל תוצאה מספרית כוללת יחידה וטווח ייחוס. הערכים נועדו לסימולציה לימודית ולא לשימוש רפואי אמיתי.</x:v>
      </x:c>
      <x:c r="J2" s="9" t="str">
        <x:v>כל תוצאה מספרית כוללת יחידה וטווח ייחוס. הערכים נועדו לסימולציה לימודית ולא לשימוש רפואי אמיתי.</x:v>
      </x:c>
      <x:c r="K2" s="9" t="str">
        <x:v>כל תוצאה מספרית כוללת יחידה וטווח ייחוס. הערכים נועדו לסימולציה לימודית ולא לשימוש רפואי אמיתי.</x:v>
      </x:c>
    </x:row>
    <x:row r="4" ht="34" customHeight="1">
      <x:c r="A4" s="24" t="str">
        <x:v>מזהה ערך בתיק</x:v>
      </x:c>
      <x:c r="B4" s="54" t="str">
        <x:v>מזהה רכיב בסיס</x:v>
      </x:c>
      <x:c r="C4" s="54" t="str">
        <x:v>בדיקה או רכיב</x:v>
      </x:c>
      <x:c r="D4" s="54" t="str">
        <x:v>תוצאה להצגה</x:v>
      </x:c>
      <x:c r="E4" s="54" t="str">
        <x:v>ערך מספרי — לא להזנה</x:v>
      </x:c>
      <x:c r="F4" s="54" t="str">
        <x:v>יחידה — לא להזנה</x:v>
      </x:c>
      <x:c r="G4" s="54" t="str">
        <x:v>טווח ייחוס — לא להזנה</x:v>
      </x:c>
      <x:c r="H4" s="54" t="str">
        <x:v>פרשנות במקרה</x:v>
      </x:c>
      <x:c r="I4" s="54" t="str">
        <x:v>חשיבות במקרה</x:v>
      </x:c>
      <x:c r="J4" s="54" t="str">
        <x:v>היגיון למשוב</x:v>
      </x:c>
      <x:c r="K4" s="25" t="str">
        <x:v>סטטוס</x:v>
      </x:c>
    </x:row>
    <x:row r="5">
      <x:c r="A5" s="45" t="str">
        <x:v>CASE-001-IT-001</x:v>
      </x:c>
      <x:c r="B5" s="64" t="str">
        <x:v>IT-001</x:v>
      </x:c>
      <x:c r="C5" s="64" t="str">
        <x:v>גובה</x:v>
      </x:c>
      <x:c r="D5" s="64" t="str">
        <x:v>נוצר אוטומטית מתוצאות_מספריות.</x:v>
      </x:c>
      <x:c r="E5" s="64"/>
      <x:c r="F5" s="64"/>
      <x:c r="G5" s="64"/>
      <x:c r="H5" s="64" t="str">
        <x:v>גובה</x:v>
      </x:c>
      <x:c r="I5" s="64" t="str">
        <x:v>חשוב</x:v>
      </x:c>
      <x:c r="J5" s="64" t="str">
        <x:v>גובה עשוי לחזק את ההערכה ולשפר את התכנון הקליני.</x:v>
      </x:c>
      <x:c r="K5" s="46" t="str">
        <x:v>מאושר</x:v>
      </x:c>
    </x:row>
    <x:row r="6">
      <x:c r="A6" s="47" t="str">
        <x:v>CASE-001-IT-002</x:v>
      </x:c>
      <x:c r="B6" s="65" t="str">
        <x:v>IT-002</x:v>
      </x:c>
      <x:c r="C6" s="65" t="str">
        <x:v>משקל</x:v>
      </x:c>
      <x:c r="D6" s="65" t="str">
        <x:v>נוצר אוטומטית מתוצאות_מספריות.</x:v>
      </x:c>
      <x:c r="E6" s="65"/>
      <x:c r="F6" s="65"/>
      <x:c r="G6" s="65"/>
      <x:c r="H6" s="65" t="str">
        <x:v>משקל עודף</x:v>
      </x:c>
      <x:c r="I6" s="65" t="str">
        <x:v>חשוב</x:v>
      </x:c>
      <x:c r="J6" s="65" t="str">
        <x:v>משקל עשוי לחזק את ההערכה ולשפר את התכנון הקליני.</x:v>
      </x:c>
      <x:c r="K6" s="48" t="str">
        <x:v>מאושר</x:v>
      </x:c>
    </x:row>
    <x:row r="7">
      <x:c r="A7" s="47" t="str">
        <x:v>CASE-001-IT-003</x:v>
      </x:c>
      <x:c r="B7" s="65" t="str">
        <x:v>IT-003</x:v>
      </x:c>
      <x:c r="C7" s="65" t="str">
        <x:v>BMI</x:v>
      </x:c>
      <x:c r="D7" s="65" t="str">
        <x:v>נוצר אוטומטית מתוצאות_מספריות.</x:v>
      </x:c>
      <x:c r="E7" s="65"/>
      <x:c r="F7" s="65"/>
      <x:c r="G7" s="65"/>
      <x:c r="H7" s="65" t="str">
        <x:v>עודף משקל</x:v>
      </x:c>
      <x:c r="I7" s="65" t="str">
        <x:v>חשוב</x:v>
      </x:c>
      <x:c r="J7" s="65" t="str">
        <x:v>BMI עשוי לחזק את ההערכה ולשפר את התכנון הקליני.</x:v>
      </x:c>
      <x:c r="K7" s="48" t="str">
        <x:v>מאושר</x:v>
      </x:c>
    </x:row>
    <x:row r="8">
      <x:c r="A8" s="47" t="str">
        <x:v>CASE-001-IT-004</x:v>
      </x:c>
      <x:c r="B8" s="65" t="str">
        <x:v>IT-004</x:v>
      </x:c>
      <x:c r="C8" s="65" t="str">
        <x:v>סטורציה</x:v>
      </x:c>
      <x:c r="D8" s="65" t="str">
        <x:v>נוצר אוטומטית מתוצאות_מספריות.</x:v>
      </x:c>
      <x:c r="E8" s="65"/>
      <x:c r="F8" s="65"/>
      <x:c r="G8" s="65"/>
      <x:c r="H8" s="65" t="str">
        <x:v>תקין</x:v>
      </x:c>
      <x:c r="I8" s="65" t="str">
        <x:v>חשוב</x:v>
      </x:c>
      <x:c r="J8" s="65" t="str">
        <x:v>סטורציה עשוי לחזק את ההערכה ולשפר את התכנון הקליני.</x:v>
      </x:c>
      <x:c r="K8" s="48" t="str">
        <x:v>מאושר</x:v>
      </x:c>
    </x:row>
    <x:row r="9">
      <x:c r="A9" s="47" t="str">
        <x:v>CASE-001-IT-005</x:v>
      </x:c>
      <x:c r="B9" s="65" t="str">
        <x:v>IT-005</x:v>
      </x:c>
      <x:c r="C9" s="65" t="str">
        <x:v>קצב הלב באק״ג</x:v>
      </x:c>
      <x:c r="D9" s="65" t="str">
        <x:v>נוצר אוטומטית מתוצאות_מספריות.</x:v>
      </x:c>
      <x:c r="E9" s="65"/>
      <x:c r="F9" s="65"/>
      <x:c r="G9" s="65"/>
      <x:c r="H9" s="65" t="str">
        <x:v>תקין</x:v>
      </x:c>
      <x:c r="I9" s="65" t="str">
        <x:v>חיוני במקרה</x:v>
      </x:c>
      <x:c r="J9" s="65" t="str">
        <x:v>קצב הלב באק״ג נחוץ להבנת התמונה, לבטיחות, להערכת הסיכון או לתכנון הטיפול.</x:v>
      </x:c>
      <x:c r="K9" s="48" t="str">
        <x:v>מאושר</x:v>
      </x:c>
    </x:row>
    <x:row r="10">
      <x:c r="A10" s="47" t="str">
        <x:v>CASE-001-IT-006</x:v>
      </x:c>
      <x:c r="B10" s="65" t="str">
        <x:v>IT-006</x:v>
      </x:c>
      <x:c r="C10" s="65" t="str">
        <x:v>סדירות ומקור המקצב</x:v>
      </x:c>
      <x:c r="D10" s="65" t="str">
        <x:v>קצב סינוס סדיר</x:v>
      </x:c>
      <x:c r="E10" s="65"/>
      <x:c r="F10" s="65"/>
      <x:c r="G10" s="65"/>
      <x:c r="H10" s="65" t="str">
        <x:v>תקין</x:v>
      </x:c>
      <x:c r="I10" s="65" t="str">
        <x:v>חיוני במקרה</x:v>
      </x:c>
      <x:c r="J10" s="65" t="str">
        <x:v>סדירות ומקור המקצב נחוץ להבנת התמונה, לבטיחות, להערכת הסיכון או לתכנון הטיפול.</x:v>
      </x:c>
      <x:c r="K10" s="48" t="str">
        <x:v>מאושר</x:v>
      </x:c>
    </x:row>
    <x:row r="11">
      <x:c r="A11" s="47" t="str">
        <x:v>CASE-001-IT-007</x:v>
      </x:c>
      <x:c r="B11" s="65" t="str">
        <x:v>IT-007</x:v>
      </x:c>
      <x:c r="C11" s="65" t="str">
        <x:v>פרפור פרוזדורים והפרעות קצב אחרות</x:v>
      </x:c>
      <x:c r="D11" s="65" t="str">
        <x:v>ללא פרפור פרוזדורים או הפרעת קצב אחרת</x:v>
      </x:c>
      <x:c r="E11" s="65"/>
      <x:c r="F11" s="65"/>
      <x:c r="G11" s="65"/>
      <x:c r="H11" s="65" t="str">
        <x:v>תקין</x:v>
      </x:c>
      <x:c r="I11" s="65" t="str">
        <x:v>חיוני במקרה</x:v>
      </x:c>
      <x:c r="J11" s="65" t="str">
        <x:v>פרפור פרוזדורים והפרעות קצב אחרות נחוץ להבנת התמונה, לבטיחות, להערכת הסיכון או לתכנון הטיפול.</x:v>
      </x:c>
      <x:c r="K11" s="48" t="str">
        <x:v>מאושר</x:v>
      </x:c>
    </x:row>
    <x:row r="12">
      <x:c r="A12" s="47" t="str">
        <x:v>CASE-001-IT-008</x:v>
      </x:c>
      <x:c r="B12" s="65" t="str">
        <x:v>IT-008</x:v>
      </x:c>
      <x:c r="C12" s="65" t="str">
        <x:v>שינויים במקטע ST</x:v>
      </x:c>
      <x:c r="D12" s="65" t="str">
        <x:v>ללא עליות או צניחות ST במנוחה</x:v>
      </x:c>
      <x:c r="E12" s="65"/>
      <x:c r="F12" s="65"/>
      <x:c r="G12" s="65"/>
      <x:c r="H12" s="65" t="str">
        <x:v>תקין במנוחה; אינו שולל תעוקה במאמץ</x:v>
      </x:c>
      <x:c r="I12" s="65" t="str">
        <x:v>חיוני במקרה</x:v>
      </x:c>
      <x:c r="J12" s="65" t="str">
        <x:v>אק״ג תקין במנוחה אינו שולל איסכמיה המופיעה רק במאמץ.</x:v>
      </x:c>
      <x:c r="K12" s="48" t="str">
        <x:v>מאושר</x:v>
      </x:c>
    </x:row>
    <x:row r="13">
      <x:c r="A13" s="47" t="str">
        <x:v>CASE-001-IT-009</x:v>
      </x:c>
      <x:c r="B13" s="65" t="str">
        <x:v>IT-009</x:v>
      </x:c>
      <x:c r="C13" s="65" t="str">
        <x:v>גלי T, גלי Q והפרעות הולכה</x:v>
      </x:c>
      <x:c r="D13" s="65" t="str">
        <x:v>ללא גלי Q פתולוגיים, שינויי T משמעותיים או הפרעת הולכה</x:v>
      </x:c>
      <x:c r="E13" s="65"/>
      <x:c r="F13" s="65"/>
      <x:c r="G13" s="65"/>
      <x:c r="H13" s="65" t="str">
        <x:v>תקין</x:v>
      </x:c>
      <x:c r="I13" s="65" t="str">
        <x:v>חיוני במקרה</x:v>
      </x:c>
      <x:c r="J13" s="65" t="str">
        <x:v>גלי T, גלי Q והפרעות הולכה נחוץ להבנת התמונה, לבטיחות, להערכת הסיכון או לתכנון הטיפול.</x:v>
      </x:c>
      <x:c r="K13" s="48" t="str">
        <x:v>מאושר</x:v>
      </x:c>
    </x:row>
    <x:row r="14">
      <x:c r="A14" s="47" t="str">
        <x:v>CASE-001-IT-010</x:v>
      </x:c>
      <x:c r="B14" s="65" t="str">
        <x:v>IT-010</x:v>
      </x:c>
      <x:c r="C14" s="65" t="str">
        <x:v>גודש או בצקת ריאות</x:v>
      </x:c>
      <x:c r="D14" s="65" t="str">
        <x:v>בצילום החזה אין גודש או בצקת ריאות</x:v>
      </x:c>
      <x:c r="E14" s="65"/>
      <x:c r="F14" s="65"/>
      <x:c r="G14" s="65"/>
      <x:c r="H14" s="65" t="str">
        <x:v>תקין</x:v>
      </x:c>
      <x:c r="I14" s="65" t="str">
        <x:v>חשוב</x:v>
      </x:c>
      <x:c r="J14" s="65" t="str">
        <x:v>גודש או בצקת ריאות עשוי לחזק את ההערכה ולשפר את התכנון הקליני.</x:v>
      </x:c>
      <x:c r="K14" s="48" t="str">
        <x:v>מאושר</x:v>
      </x:c>
    </x:row>
    <x:row r="15">
      <x:c r="A15" s="47" t="str">
        <x:v>CASE-001-IT-011</x:v>
      </x:c>
      <x:c r="B15" s="65" t="str">
        <x:v>IT-011</x:v>
      </x:c>
      <x:c r="C15" s="65" t="str">
        <x:v>גודל צל הלב</x:v>
      </x:c>
      <x:c r="D15" s="65" t="str">
        <x:v>צל הלב בגודל תקין</x:v>
      </x:c>
      <x:c r="E15" s="65"/>
      <x:c r="F15" s="65"/>
      <x:c r="G15" s="65"/>
      <x:c r="H15" s="65" t="str">
        <x:v>תקין</x:v>
      </x:c>
      <x:c r="I15" s="65" t="str">
        <x:v>חשוב</x:v>
      </x:c>
      <x:c r="J15" s="65" t="str">
        <x:v>גודל צל הלב עשוי לחזק את ההערכה ולשפר את התכנון הקליני.</x:v>
      </x:c>
      <x:c r="K15" s="48" t="str">
        <x:v>מאושר</x:v>
      </x:c>
    </x:row>
    <x:row r="16">
      <x:c r="A16" s="47" t="str">
        <x:v>CASE-001-IT-012</x:v>
      </x:c>
      <x:c r="B16" s="65" t="str">
        <x:v>IT-012</x:v>
      </x:c>
      <x:c r="C16" s="65" t="str">
        <x:v>תפליט פלאורלי וממצא חלופי</x:v>
      </x:c>
      <x:c r="D16" s="65" t="str">
        <x:v>ללא תפליט פלאורלי או ממצא ריאתי משמעותי</x:v>
      </x:c>
      <x:c r="E16" s="65"/>
      <x:c r="F16" s="65"/>
      <x:c r="G16" s="65"/>
      <x:c r="H16" s="65" t="str">
        <x:v>תקין</x:v>
      </x:c>
      <x:c r="I16" s="65" t="str">
        <x:v>חשוב</x:v>
      </x:c>
      <x:c r="J16" s="65" t="str">
        <x:v>תפליט פלאורלי וממצא חלופי עשוי לחזק את ההערכה ולשפר את התכנון הקליני.</x:v>
      </x:c>
      <x:c r="K16" s="48" t="str">
        <x:v>מאושר</x:v>
      </x:c>
    </x:row>
    <x:row r="17">
      <x:c r="A17" s="47" t="str">
        <x:v>CASE-001-IT-013</x:v>
      </x:c>
      <x:c r="B17" s="65" t="str">
        <x:v>IT-013</x:v>
      </x:c>
      <x:c r="C17" s="65" t="str">
        <x:v>המוגלובין והמטוקריט</x:v>
      </x:c>
      <x:c r="D17" s="65" t="str">
        <x:v>נוצר אוטומטית מתוצאות_מספריות.</x:v>
      </x:c>
      <x:c r="E17" s="65"/>
      <x:c r="F17" s="65"/>
      <x:c r="G17" s="65"/>
      <x:c r="H17" s="65" t="str">
        <x:v>תקין; ללא אנמיה</x:v>
      </x:c>
      <x:c r="I17" s="65" t="str">
        <x:v>חשוב</x:v>
      </x:c>
      <x:c r="J17" s="65" t="str">
        <x:v>המוגלובין והמטוקריט עשוי לחזק את ההערכה ולשפר את התכנון הקליני.</x:v>
      </x:c>
      <x:c r="K17" s="48" t="str">
        <x:v>מאושר</x:v>
      </x:c>
    </x:row>
    <x:row r="18">
      <x:c r="A18" s="47" t="str">
        <x:v>CASE-001-IT-014</x:v>
      </x:c>
      <x:c r="B18" s="65" t="str">
        <x:v>IT-014</x:v>
      </x:c>
      <x:c r="C18" s="65" t="str">
        <x:v>תאי דם לבנים</x:v>
      </x:c>
      <x:c r="D18" s="65" t="str">
        <x:v>נוצר אוטומטית מתוצאות_מספריות.</x:v>
      </x:c>
      <x:c r="E18" s="65"/>
      <x:c r="F18" s="65"/>
      <x:c r="G18" s="65"/>
      <x:c r="H18" s="65" t="str">
        <x:v>תקין</x:v>
      </x:c>
      <x:c r="I18" s="65" t="str">
        <x:v>בדרך כלל לא מרכזי</x:v>
      </x:c>
      <x:c r="J18" s="65" t="str">
        <x:v>תאי דם לבנים לגיטימי, אך תרומתו נמוכה במקרה זה ללא רמז מכוון.</x:v>
      </x:c>
      <x:c r="K18" s="48" t="str">
        <x:v>מאושר</x:v>
      </x:c>
    </x:row>
    <x:row r="19">
      <x:c r="A19" s="47" t="str">
        <x:v>CASE-001-IT-015</x:v>
      </x:c>
      <x:c r="B19" s="65" t="str">
        <x:v>IT-015</x:v>
      </x:c>
      <x:c r="C19" s="65" t="str">
        <x:v>טסיות דם</x:v>
      </x:c>
      <x:c r="D19" s="65" t="str">
        <x:v>נוצר אוטומטית מתוצאות_מספריות.</x:v>
      </x:c>
      <x:c r="E19" s="65"/>
      <x:c r="F19" s="65"/>
      <x:c r="G19" s="65"/>
      <x:c r="H19" s="65" t="str">
        <x:v>תקין</x:v>
      </x:c>
      <x:c r="I19" s="65" t="str">
        <x:v>בדרך כלל לא מרכזי</x:v>
      </x:c>
      <x:c r="J19" s="65" t="str">
        <x:v>טסיות דם לגיטימי, אך תרומתו נמוכה במקרה זה ללא רמז מכוון.</x:v>
      </x:c>
      <x:c r="K19" s="48" t="str">
        <x:v>מאושר</x:v>
      </x:c>
    </x:row>
    <x:row r="20">
      <x:c r="A20" s="47" t="str">
        <x:v>CASE-001-IT-016</x:v>
      </x:c>
      <x:c r="B20" s="65" t="str">
        <x:v>IT-016</x:v>
      </x:c>
      <x:c r="C20" s="65" t="str">
        <x:v>גלוקוז בדם</x:v>
      </x:c>
      <x:c r="D20" s="65" t="str">
        <x:v>נוצר אוטומטית מתוצאות_מספריות.</x:v>
      </x:c>
      <x:c r="E20" s="65"/>
      <x:c r="F20" s="65"/>
      <x:c r="G20" s="65"/>
      <x:c r="H20" s="65" t="str">
        <x:v>תקין</x:v>
      </x:c>
      <x:c r="I20" s="65" t="str">
        <x:v>חשוב</x:v>
      </x:c>
      <x:c r="J20" s="65" t="str">
        <x:v>גלוקוז בדם עשוי לחזק את ההערכה ולשפר את התכנון הקליני.</x:v>
      </x:c>
      <x:c r="K20" s="48" t="str">
        <x:v>מאושר</x:v>
      </x:c>
    </x:row>
    <x:row r="21">
      <x:c r="A21" s="47" t="str">
        <x:v>CASE-001-IT-017</x:v>
      </x:c>
      <x:c r="B21" s="65" t="str">
        <x:v>IT-017</x:v>
      </x:c>
      <x:c r="C21" s="65" t="str">
        <x:v>המוגלובין מסוכרר HbA1c</x:v>
      </x:c>
      <x:c r="D21" s="65" t="str">
        <x:v>נוצר אוטומטית מתוצאות_מספריות.</x:v>
      </x:c>
      <x:c r="E21" s="65"/>
      <x:c r="F21" s="65"/>
      <x:c r="G21" s="65"/>
      <x:c r="H21" s="65" t="str">
        <x:v>תקין</x:v>
      </x:c>
      <x:c r="I21" s="65" t="str">
        <x:v>חשוב</x:v>
      </x:c>
      <x:c r="J21" s="65" t="str">
        <x:v>המוגלובין מסוכרר HbA1c עשוי לחזק את ההערכה ולשפר את התכנון הקליני.</x:v>
      </x:c>
      <x:c r="K21" s="48" t="str">
        <x:v>מאושר</x:v>
      </x:c>
    </x:row>
    <x:row r="22">
      <x:c r="A22" s="47" t="str">
        <x:v>CASE-001-IT-018</x:v>
      </x:c>
      <x:c r="B22" s="65" t="str">
        <x:v>IT-018</x:v>
      </x:c>
      <x:c r="C22" s="65" t="str">
        <x:v>כולסטרול כללי</x:v>
      </x:c>
      <x:c r="D22" s="65" t="str">
        <x:v>נוצר אוטומטית מתוצאות_מספריות.</x:v>
      </x:c>
      <x:c r="E22" s="65"/>
      <x:c r="F22" s="65"/>
      <x:c r="G22" s="65"/>
      <x:c r="H22" s="65" t="str">
        <x:v>גבוה</x:v>
      </x:c>
      <x:c r="I22" s="65" t="str">
        <x:v>חיוני במקרה</x:v>
      </x:c>
      <x:c r="J22" s="65" t="str">
        <x:v>כולסטרול כללי נחוץ להבנת התמונה, לבטיחות, להערכת הסיכון או לתכנון הטיפול.</x:v>
      </x:c>
      <x:c r="K22" s="48" t="str">
        <x:v>מאושר</x:v>
      </x:c>
    </x:row>
    <x:row r="23">
      <x:c r="A23" s="47" t="str">
        <x:v>CASE-001-IT-019</x:v>
      </x:c>
      <x:c r="B23" s="65" t="str">
        <x:v>IT-019</x:v>
      </x:c>
      <x:c r="C23" s="65" t="str">
        <x:v>LDL</x:v>
      </x:c>
      <x:c r="D23" s="65" t="str">
        <x:v>נוצר אוטומטית מתוצאות_מספריות.</x:v>
      </x:c>
      <x:c r="E23" s="65"/>
      <x:c r="F23" s="65"/>
      <x:c r="G23" s="65"/>
      <x:c r="H23" s="65" t="str">
        <x:v>גבוה</x:v>
      </x:c>
      <x:c r="I23" s="65" t="str">
        <x:v>חיוני במקרה</x:v>
      </x:c>
      <x:c r="J23" s="65" t="str">
        <x:v>LDL נחוץ להבנת התמונה, לבטיחות, להערכת הסיכון או לתכנון הטיפול.</x:v>
      </x:c>
      <x:c r="K23" s="48" t="str">
        <x:v>מאושר</x:v>
      </x:c>
    </x:row>
    <x:row r="24">
      <x:c r="A24" s="47" t="str">
        <x:v>CASE-001-IT-020</x:v>
      </x:c>
      <x:c r="B24" s="65" t="str">
        <x:v>IT-020</x:v>
      </x:c>
      <x:c r="C24" s="65" t="str">
        <x:v>HDL</x:v>
      </x:c>
      <x:c r="D24" s="65" t="str">
        <x:v>נוצר אוטומטית מתוצאות_מספריות.</x:v>
      </x:c>
      <x:c r="E24" s="65"/>
      <x:c r="F24" s="65"/>
      <x:c r="G24" s="65"/>
      <x:c r="H24" s="65" t="str">
        <x:v>נמוך מעט</x:v>
      </x:c>
      <x:c r="I24" s="65" t="str">
        <x:v>חיוני במקרה</x:v>
      </x:c>
      <x:c r="J24" s="65" t="str">
        <x:v>HDL נחוץ להבנת התמונה, לבטיחות, להערכת הסיכון או לתכנון הטיפול.</x:v>
      </x:c>
      <x:c r="K24" s="48" t="str">
        <x:v>מאושר</x:v>
      </x:c>
    </x:row>
    <x:row r="25">
      <x:c r="A25" s="47" t="str">
        <x:v>CASE-001-IT-021</x:v>
      </x:c>
      <x:c r="B25" s="65" t="str">
        <x:v>IT-021</x:v>
      </x:c>
      <x:c r="C25" s="65" t="str">
        <x:v>טריגליצרידים</x:v>
      </x:c>
      <x:c r="D25" s="65" t="str">
        <x:v>נוצר אוטומטית מתוצאות_מספריות.</x:v>
      </x:c>
      <x:c r="E25" s="65"/>
      <x:c r="F25" s="65"/>
      <x:c r="G25" s="65"/>
      <x:c r="H25" s="65" t="str">
        <x:v>גבוהים</x:v>
      </x:c>
      <x:c r="I25" s="65" t="str">
        <x:v>חיוני במקרה</x:v>
      </x:c>
      <x:c r="J25" s="65" t="str">
        <x:v>טריגליצרידים נחוץ להבנת התמונה, לבטיחות, להערכת הסיכון או לתכנון הטיפול.</x:v>
      </x:c>
      <x:c r="K25" s="48" t="str">
        <x:v>מאושר</x:v>
      </x:c>
    </x:row>
    <x:row r="26">
      <x:c r="A26" s="47" t="str">
        <x:v>CASE-001-IT-022</x:v>
      </x:c>
      <x:c r="B26" s="65" t="str">
        <x:v>IT-022</x:v>
      </x:c>
      <x:c r="C26" s="65" t="str">
        <x:v>נתרן</x:v>
      </x:c>
      <x:c r="D26" s="65" t="str">
        <x:v>נוצר אוטומטית מתוצאות_מספריות.</x:v>
      </x:c>
      <x:c r="E26" s="65"/>
      <x:c r="F26" s="65"/>
      <x:c r="G26" s="65"/>
      <x:c r="H26" s="65" t="str">
        <x:v>תקין</x:v>
      </x:c>
      <x:c r="I26" s="65" t="str">
        <x:v>חשוב</x:v>
      </x:c>
      <x:c r="J26" s="65" t="str">
        <x:v>נתרן עשוי לחזק את ההערכה ולשפר את התכנון הקליני.</x:v>
      </x:c>
      <x:c r="K26" s="48" t="str">
        <x:v>מאושר</x:v>
      </x:c>
    </x:row>
    <x:row r="27">
      <x:c r="A27" s="47" t="str">
        <x:v>CASE-001-IT-023</x:v>
      </x:c>
      <x:c r="B27" s="65" t="str">
        <x:v>IT-023</x:v>
      </x:c>
      <x:c r="C27" s="65" t="str">
        <x:v>אשלגן</x:v>
      </x:c>
      <x:c r="D27" s="65" t="str">
        <x:v>נוצר אוטומטית מתוצאות_מספריות.</x:v>
      </x:c>
      <x:c r="E27" s="65"/>
      <x:c r="F27" s="65"/>
      <x:c r="G27" s="65"/>
      <x:c r="H27" s="65" t="str">
        <x:v>תקין</x:v>
      </x:c>
      <x:c r="I27" s="65" t="str">
        <x:v>חשוב</x:v>
      </x:c>
      <x:c r="J27" s="65" t="str">
        <x:v>אשלגן עשוי לחזק את ההערכה ולשפר את התכנון הקליני.</x:v>
      </x:c>
      <x:c r="K27" s="48" t="str">
        <x:v>מאושר</x:v>
      </x:c>
    </x:row>
    <x:row r="28">
      <x:c r="A28" s="47" t="str">
        <x:v>CASE-001-IT-024</x:v>
      </x:c>
      <x:c r="B28" s="65" t="str">
        <x:v>IT-024</x:v>
      </x:c>
      <x:c r="C28" s="65" t="str">
        <x:v>מגנזיום וסידן</x:v>
      </x:c>
      <x:c r="D28" s="65" t="str">
        <x:v>נוצר אוטומטית מתוצאות_מספריות.</x:v>
      </x:c>
      <x:c r="E28" s="65"/>
      <x:c r="F28" s="65"/>
      <x:c r="G28" s="65"/>
      <x:c r="H28" s="65" t="str">
        <x:v>תקינים</x:v>
      </x:c>
      <x:c r="I28" s="65" t="str">
        <x:v>משלים</x:v>
      </x:c>
      <x:c r="J28" s="65" t="str">
        <x:v>מגנזיום וסידן עשוי להשלים את התמונה בהתאם למסלול הבירור.</x:v>
      </x:c>
      <x:c r="K28" s="48" t="str">
        <x:v>מאושר</x:v>
      </x:c>
    </x:row>
    <x:row r="29">
      <x:c r="A29" s="47" t="str">
        <x:v>CASE-001-IT-025</x:v>
      </x:c>
      <x:c r="B29" s="65" t="str">
        <x:v>IT-025</x:v>
      </x:c>
      <x:c r="C29" s="65" t="str">
        <x:v>תפקודי תריס</x:v>
      </x:c>
      <x:c r="D29" s="65" t="str">
        <x:v>נוצר אוטומטית מתוצאות_מספריות.</x:v>
      </x:c>
      <x:c r="E29" s="65"/>
      <x:c r="F29" s="65"/>
      <x:c r="G29" s="65"/>
      <x:c r="H29" s="65" t="str">
        <x:v>תקינים</x:v>
      </x:c>
      <x:c r="I29" s="65" t="str">
        <x:v>משלים</x:v>
      </x:c>
      <x:c r="J29" s="65" t="str">
        <x:v>תפקודי תריס עשוי להשלים את התמונה בהתאם למסלול הבירור.</x:v>
      </x:c>
      <x:c r="K29" s="48" t="str">
        <x:v>מאושר</x:v>
      </x:c>
    </x:row>
    <x:row r="30">
      <x:c r="A30" s="47" t="str">
        <x:v>CASE-001-IT-026</x:v>
      </x:c>
      <x:c r="B30" s="65" t="str">
        <x:v>IT-026</x:v>
      </x:c>
      <x:c r="C30" s="65" t="str">
        <x:v>תפקודי כבד ואלבומין</x:v>
      </x:c>
      <x:c r="D30" s="65" t="str">
        <x:v>נוצר אוטומטית מתוצאות_מספריות.</x:v>
      </x:c>
      <x:c r="E30" s="65"/>
      <x:c r="F30" s="65"/>
      <x:c r="G30" s="65"/>
      <x:c r="H30" s="65" t="str">
        <x:v>תקינים</x:v>
      </x:c>
      <x:c r="I30" s="65" t="str">
        <x:v>משלים</x:v>
      </x:c>
      <x:c r="J30" s="65" t="str">
        <x:v>תפקודי כבד ואלבומין עשוי להשלים את התמונה בהתאם למסלול הבירור.</x:v>
      </x:c>
      <x:c r="K30" s="48" t="str">
        <x:v>מאושר</x:v>
      </x:c>
    </x:row>
    <x:row r="31">
      <x:c r="A31" s="47" t="str">
        <x:v>CASE-001-IT-027</x:v>
      </x:c>
      <x:c r="B31" s="65" t="str">
        <x:v>IT-027</x:v>
      </x:c>
      <x:c r="C31" s="65" t="str">
        <x:v>תפקודי קרישה</x:v>
      </x:c>
      <x:c r="D31" s="65" t="str">
        <x:v>נוצר אוטומטית מתוצאות_מספריות.</x:v>
      </x:c>
      <x:c r="E31" s="65"/>
      <x:c r="F31" s="65"/>
      <x:c r="G31" s="65"/>
      <x:c r="H31" s="65" t="str">
        <x:v>תקין</x:v>
      </x:c>
      <x:c r="I31" s="65" t="str">
        <x:v>בדרך כלל לא מרכזי</x:v>
      </x:c>
      <x:c r="J31" s="65" t="str">
        <x:v>תפקודי קרישה לגיטימי, אך תרומתו נמוכה במקרה זה ללא רמז מכוון.</x:v>
      </x:c>
      <x:c r="K31" s="48" t="str">
        <x:v>מאושר</x:v>
      </x:c>
    </x:row>
    <x:row r="32">
      <x:c r="A32" s="47" t="str">
        <x:v>CASE-001-IT-028</x:v>
      </x:c>
      <x:c r="B32" s="65" t="str">
        <x:v>IT-028</x:v>
      </x:c>
      <x:c r="C32" s="65" t="str">
        <x:v>טרופונין</x:v>
      </x:c>
      <x:c r="D32" s="65" t="str">
        <x:v>נוצר אוטומטית מתוצאות_מספריות.</x:v>
      </x:c>
      <x:c r="E32" s="65"/>
      <x:c r="F32" s="65"/>
      <x:c r="G32" s="65"/>
      <x:c r="H32" s="65" t="str">
        <x:v>אינו מוגבר; אין עדות לנזק חריף</x:v>
      </x:c>
      <x:c r="I32" s="65" t="str">
        <x:v>משלים</x:v>
      </x:c>
      <x:c r="J32" s="65" t="str">
        <x:v>טרופונין רלוונטי כשעולה חשד לאירוע חריף; תוצאה תקינה אינה מאשרת תעוקה יציבה.</x:v>
      </x:c>
      <x:c r="K32" s="48" t="str">
        <x:v>מאושר</x:v>
      </x:c>
    </x:row>
    <x:row r="33">
      <x:c r="A33" s="47" t="str">
        <x:v>CASE-001-IT-029</x:v>
      </x:c>
      <x:c r="B33" s="65" t="str">
        <x:v>IT-029</x:v>
      </x:c>
      <x:c r="C33" s="65" t="str">
        <x:v>CK או CPK ו-CK-MB</x:v>
      </x:c>
      <x:c r="D33" s="65" t="str">
        <x:v>נוצר אוטומטית מתוצאות_מספריות.</x:v>
      </x:c>
      <x:c r="E33" s="65"/>
      <x:c r="F33" s="65"/>
      <x:c r="G33" s="65"/>
      <x:c r="H33" s="65" t="str">
        <x:v>תקינים</x:v>
      </x:c>
      <x:c r="I33" s="65" t="str">
        <x:v>בדרך כלל לא מרכזי</x:v>
      </x:c>
      <x:c r="J33" s="65" t="str">
        <x:v>CK או CPK ו-CK-MB לגיטימי, אך תרומתו נמוכה במקרה זה ללא רמז מכוון.</x:v>
      </x:c>
      <x:c r="K33" s="48" t="str">
        <x:v>מאושר</x:v>
      </x:c>
    </x:row>
    <x:row r="34">
      <x:c r="A34" s="47" t="str">
        <x:v>CASE-001-IT-030</x:v>
      </x:c>
      <x:c r="B34" s="65" t="str">
        <x:v>IT-030</x:v>
      </x:c>
      <x:c r="C34" s="65" t="str">
        <x:v>אוריאה</x:v>
      </x:c>
      <x:c r="D34" s="65" t="str">
        <x:v>נוצר אוטומטית מתוצאות_מספריות.</x:v>
      </x:c>
      <x:c r="E34" s="65"/>
      <x:c r="F34" s="65"/>
      <x:c r="G34" s="65"/>
      <x:c r="H34" s="65" t="str">
        <x:v>תקין</x:v>
      </x:c>
      <x:c r="I34" s="65" t="str">
        <x:v>חשוב</x:v>
      </x:c>
      <x:c r="J34" s="65" t="str">
        <x:v>אוריאה עשוי לחזק את ההערכה ולשפר את התכנון הקליני.</x:v>
      </x:c>
      <x:c r="K34" s="48" t="str">
        <x:v>מאושר</x:v>
      </x:c>
    </x:row>
    <x:row r="35">
      <x:c r="A35" s="47" t="str">
        <x:v>CASE-001-IT-031</x:v>
      </x:c>
      <x:c r="B35" s="65" t="str">
        <x:v>IT-031</x:v>
      </x:c>
      <x:c r="C35" s="65" t="str">
        <x:v>קריאטינין ו-eGFR</x:v>
      </x:c>
      <x:c r="D35" s="65" t="str">
        <x:v>נוצר אוטומטית מתוצאות_מספריות.</x:v>
      </x:c>
      <x:c r="E35" s="65"/>
      <x:c r="F35" s="65"/>
      <x:c r="G35" s="65"/>
      <x:c r="H35" s="65" t="str">
        <x:v>תפקוד כליה תקין</x:v>
      </x:c>
      <x:c r="I35" s="65" t="str">
        <x:v>חשוב</x:v>
      </x:c>
      <x:c r="J35" s="65" t="str">
        <x:v>קריאטינין ו-eGFR עשוי לחזק את ההערכה ולשפר את התכנון הקליני.</x:v>
      </x:c>
      <x:c r="K35" s="48" t="str">
        <x:v>מאושר</x:v>
      </x:c>
    </x:row>
    <x:row r="36">
      <x:c r="A36" s="47" t="str">
        <x:v>CASE-001-IT-032</x:v>
      </x:c>
      <x:c r="B36" s="65" t="str">
        <x:v>IT-032</x:v>
      </x:c>
      <x:c r="C36" s="65" t="str">
        <x:v>BNP או NT-proBNP</x:v>
      </x:c>
      <x:c r="D36" s="65" t="str">
        <x:v>נוצר אוטומטית מתוצאות_מספריות.</x:v>
      </x:c>
      <x:c r="E36" s="65"/>
      <x:c r="F36" s="65"/>
      <x:c r="G36" s="65"/>
      <x:c r="H36" s="65" t="str">
        <x:v>אינו מוגבר</x:v>
      </x:c>
      <x:c r="I36" s="65" t="str">
        <x:v>בדרך כלל לא מרכזי</x:v>
      </x:c>
      <x:c r="J36" s="65" t="str">
        <x:v>BNP או NT-proBNP לגיטימי, אך תרומתו נמוכה במקרה זה ללא רמז מכוון.</x:v>
      </x:c>
      <x:c r="K36" s="48" t="str">
        <x:v>מאושר</x:v>
      </x:c>
    </x:row>
    <x:row r="37">
      <x:c r="A37" s="49" t="str">
        <x:v>CASE-001-IT-033</x:v>
      </x:c>
      <x:c r="B37" s="66" t="str">
        <x:v>IT-033</x:v>
      </x:c>
      <x:c r="C37" s="66" t="str">
        <x:v>סטיק שתן</x:v>
      </x:c>
      <x:c r="D37" s="66" t="str">
        <x:v>סטיק שתן: ללא גלוקוז, חלבון או דם</x:v>
      </x:c>
      <x:c r="E37" s="66"/>
      <x:c r="F37" s="66"/>
      <x:c r="G37" s="66"/>
      <x:c r="H37" s="66" t="str">
        <x:v>תקין</x:v>
      </x:c>
      <x:c r="I37" s="66" t="str">
        <x:v>בדרך כלל לא מרכזי</x:v>
      </x:c>
      <x:c r="J37" s="66" t="str">
        <x:v>סטיק שתן לגיטימי, אך תרומתו נמוכה במקרה זה ללא רמז מכוון.</x:v>
      </x:c>
      <x:c r="K37" s="50" t="str">
        <x:v>מאושר</x:v>
      </x:c>
    </x:row>
  </x:sheetData>
  <x:mergeCells>
    <x:mergeCell ref="A1:K1"/>
    <x:mergeCell ref="A2:K2"/>
  </x:mergeCells>
  <x:conditionalFormatting sqref="I5:I37">
    <x:cfRule type="containsText" dxfId="8" priority="1" operator="containsText" text="חיוני במקרה"/>
    <x:cfRule type="containsText" dxfId="9" priority="2" operator="containsText" text="חשוב"/>
    <x:cfRule type="containsText" dxfId="10" priority="3" operator="containsText" text="משלים"/>
    <x:cfRule type="containsText" dxfId="11" priority="4" operator="containsText" text="בדרך כלל לא מרכזי"/>
  </x:conditionalFormatting>
  <x:dataValidations count="1">
    <x:dataValidation type="list" sqref="I5:I37">
      <x:formula1>"חיוני במקרה,חשוב,משלים,בדרך כלל לא מרכזי"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e2f6e313b94b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2.220000267028809" hidden="0" customWidth="1"/>
    <x:col min="3" max="3" width="24.440000534057617" hidden="0" customWidth="1"/>
    <x:col min="4" max="4" width="47.779998779296875" hidden="0" customWidth="1"/>
    <x:col min="5" max="5" width="11.109999656677246" hidden="0" customWidth="1"/>
    <x:col min="6" max="6" width="37.779998779296875" hidden="0" customWidth="1"/>
    <x:col min="7" max="7" width="13.890000343322754" hidden="0" customWidth="1"/>
    <x:col min="8" max="8" width="35.560001373291016" hidden="0" customWidth="1"/>
    <x:col min="9" max="9" width="10" hidden="0" customWidth="1"/>
  </x:cols>
  <x:sheetData>
    <x:row r="1" ht="30" customHeight="1">
      <x:c r="A1" s="4" t="str">
        <x:v>תוצאות בדיקות המשך — א׳ ש׳</x:v>
      </x:c>
      <x:c r="B1" s="4" t="str">
        <x:v>תוצאות בדיקות המשך — א׳ ש׳</x:v>
      </x:c>
      <x:c r="C1" s="4" t="str">
        <x:v>תוצאות בדיקות המשך — א׳ ש׳</x:v>
      </x:c>
      <x:c r="D1" s="4" t="str">
        <x:v>תוצאות בדיקות המשך — א׳ ש׳</x:v>
      </x:c>
      <x:c r="E1" s="4" t="str">
        <x:v>תוצאות בדיקות המשך — א׳ ש׳</x:v>
      </x:c>
      <x:c r="F1" s="4" t="str">
        <x:v>תוצאות בדיקות המשך — א׳ ש׳</x:v>
      </x:c>
      <x:c r="G1" s="4" t="str">
        <x:v>תוצאות בדיקות המשך — א׳ ש׳</x:v>
      </x:c>
      <x:c r="H1" s="4" t="str">
        <x:v>תוצאות בדיקות המשך — א׳ ש׳</x:v>
      </x:c>
      <x:c r="I1" s="4" t="str">
        <x:v>תוצאות בדיקות המשך — א׳ ש׳</x:v>
      </x:c>
    </x:row>
    <x:row r="2" ht="30" customHeight="1">
      <x:c r="A2" s="9" t="str">
        <x:v>התוצאות קבועות ועקביות זו עם זו. התלמיד מקבל רק תוצאות של בדיקות שביקש.</x:v>
      </x:c>
      <x:c r="B2" s="9" t="str">
        <x:v>התוצאות קבועות ועקביות זו עם זו. התלמיד מקבל רק תוצאות של בדיקות שביקש.</x:v>
      </x:c>
      <x:c r="C2" s="9" t="str">
        <x:v>התוצאות קבועות ועקביות זו עם זו. התלמיד מקבל רק תוצאות של בדיקות שביקש.</x:v>
      </x:c>
      <x:c r="D2" s="9" t="str">
        <x:v>התוצאות קבועות ועקביות זו עם זו. התלמיד מקבל רק תוצאות של בדיקות שביקש.</x:v>
      </x:c>
      <x:c r="E2" s="9" t="str">
        <x:v>התוצאות קבועות ועקביות זו עם זו. התלמיד מקבל רק תוצאות של בדיקות שביקש.</x:v>
      </x:c>
      <x:c r="F2" s="9" t="str">
        <x:v>התוצאות קבועות ועקביות זו עם זו. התלמיד מקבל רק תוצאות של בדיקות שביקש.</x:v>
      </x:c>
      <x:c r="G2" s="9" t="str">
        <x:v>התוצאות קבועות ועקביות זו עם זו. התלמיד מקבל רק תוצאות של בדיקות שביקש.</x:v>
      </x:c>
      <x:c r="H2" s="9" t="str">
        <x:v>התוצאות קבועות ועקביות זו עם זו. התלמיד מקבל רק תוצאות של בדיקות שביקש.</x:v>
      </x:c>
      <x:c r="I2" s="9" t="str">
        <x:v>התוצאות קבועות ועקביות זו עם זו. התלמיד מקבל רק תוצאות של בדיקות שביקש.</x:v>
      </x:c>
    </x:row>
    <x:row r="4" ht="34" customHeight="1">
      <x:c r="A4" s="24" t="str">
        <x:v>מזהה ערך בתיק</x:v>
      </x:c>
      <x:c r="B4" s="54" t="str">
        <x:v>מזהה רכיב בסיס</x:v>
      </x:c>
      <x:c r="C4" s="54" t="str">
        <x:v>בדיקה</x:v>
      </x:c>
      <x:c r="D4" s="54" t="str">
        <x:v>תוצאה קבועה</x:v>
      </x:c>
      <x:c r="E4" s="54" t="str">
        <x:v>זמינות</x:v>
      </x:c>
      <x:c r="F4" s="54" t="str">
        <x:v>השפעה על החשיבה</x:v>
      </x:c>
      <x:c r="G4" s="54" t="str">
        <x:v>חשיבות במקרה</x:v>
      </x:c>
      <x:c r="H4" s="54" t="str">
        <x:v>היגיון למשוב</x:v>
      </x:c>
      <x:c r="I4" s="25" t="str">
        <x:v>סטטוס</x:v>
      </x:c>
    </x:row>
    <x:row r="5">
      <x:c r="A5" s="45" t="str">
        <x:v>CASE-001-FT-001</x:v>
      </x:c>
      <x:c r="B5" s="64" t="str">
        <x:v>FT-001</x:v>
      </x:c>
      <x:c r="C5" s="64" t="str">
        <x:v>אקו-קרדיוגרפיה</x:v>
      </x:c>
      <x:c r="D5" s="64" t="str">
        <x:v>מבנה הלב תקין; EF כ-60%; המסתמים ותנועת הדפנות במנוחה תקינים.</x:v>
      </x:c>
      <x:c r="E5" s="64" t="str">
        <x:v>לא מיידי</x:v>
      </x:c>
      <x:c r="F5" s="64" t="str">
        <x:v>שולל פגיעה מבנית או תפקודית משמעותית; אינו שולל תעוקה יציבה.</x:v>
      </x:c>
      <x:c r="G5" s="64" t="str">
        <x:v>חשוב</x:v>
      </x:c>
      <x:c r="H5" s="64" t="str">
        <x:v>אקו-קרדיוגרפיה עשוי לחזק את ההערכה ולשפר את התכנון הקליני.</x:v>
      </x:c>
      <x:c r="I5" s="46" t="str">
        <x:v>מאושר</x:v>
      </x:c>
    </x:row>
    <x:row r="6">
      <x:c r="A6" s="47" t="str">
        <x:v>CASE-001-FT-002</x:v>
      </x:c>
      <x:c r="B6" s="65" t="str">
        <x:v>FT-002</x:v>
      </x:c>
      <x:c r="C6" s="65" t="str">
        <x:v>הולטר אק״ג</x:v>
      </x:c>
      <x:c r="D6" s="65" t="str">
        <x:v>קצב סינוס; ללא הפרעת קצב משמעותית.</x:v>
      </x:c>
      <x:c r="E6" s="65" t="str">
        <x:v>לא מיידי</x:v>
      </x:c>
      <x:c r="F6" s="65" t="str">
        <x:v>אינו תומך בגורם קצבי; תשואה נמוכה ללא דפיקות לב או סינקופה.</x:v>
      </x:c>
      <x:c r="G6" s="65" t="str">
        <x:v>בדרך כלל לא מרכזי</x:v>
      </x:c>
      <x:c r="H6" s="65" t="str">
        <x:v>הולטר אק״ג לגיטימי, אך תרומתו נמוכה במקרה זה ללא רמז מכוון.</x:v>
      </x:c>
      <x:c r="I6" s="48" t="str">
        <x:v>מאושר</x:v>
      </x:c>
    </x:row>
    <x:row r="7">
      <x:c r="A7" s="47" t="str">
        <x:v>CASE-001-FT-003</x:v>
      </x:c>
      <x:c r="B7" s="65" t="str">
        <x:v>FT-003</x:v>
      </x:c>
      <x:c r="C7" s="65" t="str">
        <x:v>מבחן מאמץ</x:v>
      </x:c>
      <x:c r="D7" s="65" t="str">
        <x:v>במאמץ מופיע לחץ טיפוסי בחזה וצניחת ST אופקית; התסמין והשינוי חולפים במנוחה.</x:v>
      </x:c>
      <x:c r="E7" s="65" t="str">
        <x:v>לא מיידי</x:v>
      </x:c>
      <x:c r="F7" s="65" t="str">
        <x:v>תומך ישירות באיסכמיה תלויה במאמץ ומחזק את האבחנה.</x:v>
      </x:c>
      <x:c r="G7" s="65" t="str">
        <x:v>חיוני במקרה</x:v>
      </x:c>
      <x:c r="H7" s="65" t="str">
        <x:v>בדיקת המאמץ משחזרת תסמין ושינוי חשמלי התלויים במאמץ.</x:v>
      </x:c>
      <x:c r="I7" s="48" t="str">
        <x:v>מאושר</x:v>
      </x:c>
    </x:row>
    <x:row r="8">
      <x:c r="A8" s="47" t="str">
        <x:v>CASE-001-FT-004</x:v>
      </x:c>
      <x:c r="B8" s="65" t="str">
        <x:v>FT-004</x:v>
      </x:c>
      <x:c r="C8" s="65" t="str">
        <x:v>מיפוי לב במאמץ</x:v>
      </x:c>
      <x:c r="D8" s="65" t="str">
        <x:v>פגם זילוח הפיך קטן עד בינוני במאמץ, הנעלם במנוחה; ללא עדות לצלקת.</x:v>
      </x:c>
      <x:c r="E8" s="65" t="str">
        <x:v>לא מיידי</x:v>
      </x:c>
      <x:c r="F8" s="65" t="str">
        <x:v>מאשר איסכמיה הפיכה ללא עדות לאוטם קודם.</x:v>
      </x:c>
      <x:c r="G8" s="65" t="str">
        <x:v>חשוב</x:v>
      </x:c>
      <x:c r="H8" s="65" t="str">
        <x:v>מיפוי לב במאמץ עשוי לחזק את ההערכה ולשפר את התכנון הקליני.</x:v>
      </x:c>
      <x:c r="I8" s="48" t="str">
        <x:v>מאושר</x:v>
      </x:c>
    </x:row>
    <x:row r="9">
      <x:c r="A9" s="47" t="str">
        <x:v>CASE-001-FT-005</x:v>
      </x:c>
      <x:c r="B9" s="65" t="str">
        <x:v>FT-005</x:v>
      </x:c>
      <x:c r="C9" s="65" t="str">
        <x:v>CT אנגיוגרפיה של העורקים הכליליים</x:v>
      </x:c>
      <x:c r="D9" s="65" t="str">
        <x:v>היצרות של כ-60%–70% בעורק כלילי אחד, ללא חסימה מלאה; שינויים קלים בעורקים נוספים.</x:v>
      </x:c>
      <x:c r="E9" s="65" t="str">
        <x:v>לא מיידי</x:v>
      </x:c>
      <x:c r="F9" s="65" t="str">
        <x:v>מדגים בסיס אנטומי מתאים למחלה כלילית יציבה.</x:v>
      </x:c>
      <x:c r="G9" s="65" t="str">
        <x:v>חשוב</x:v>
      </x:c>
      <x:c r="H9" s="65" t="str">
        <x:v>CT אנגיוגרפיה של העורקים הכליליים עשוי לחזק את ההערכה ולשפר את התכנון הקליני.</x:v>
      </x:c>
      <x:c r="I9" s="48" t="str">
        <x:v>מאושר</x:v>
      </x:c>
    </x:row>
    <x:row r="10">
      <x:c r="A10" s="47" t="str">
        <x:v>CASE-001-FT-006</x:v>
      </x:c>
      <x:c r="B10" s="65" t="str">
        <x:v>FT-006</x:v>
      </x:c>
      <x:c r="C10" s="65" t="str">
        <x:v>CT חזה או אאורטה</x:v>
      </x:c>
      <x:c r="D10" s="65" t="str">
        <x:v>ללא ממצא משמעותי באאורטה או בריאות המסביר את התלונה.</x:v>
      </x:c>
      <x:c r="E10" s="65" t="str">
        <x:v>לא מיידי</x:v>
      </x:c>
      <x:c r="F10" s="65" t="str">
        <x:v>אינו מקדם את האבחנה במקרה ללא רמז לחלופה זו.</x:v>
      </x:c>
      <x:c r="G10" s="65" t="str">
        <x:v>בדרך כלל לא מרכזי</x:v>
      </x:c>
      <x:c r="H10" s="65" t="str">
        <x:v>CT חזה או אאורטה לגיטימי, אך תרומתו נמוכה במקרה זה ללא רמז מכוון.</x:v>
      </x:c>
      <x:c r="I10" s="48" t="str">
        <x:v>מאושר</x:v>
      </x:c>
    </x:row>
    <x:row r="11">
      <x:c r="A11" s="47" t="str">
        <x:v>CASE-001-FT-007</x:v>
      </x:c>
      <x:c r="B11" s="65" t="str">
        <x:v>FT-007</x:v>
      </x:c>
      <x:c r="C11" s="65" t="str">
        <x:v>MRI לב</x:v>
      </x:c>
      <x:c r="D11" s="65" t="str">
        <x:v>תפקוד חדרים תקין; ללא צלקת וללא עדות למיוקרדיטיס.</x:v>
      </x:c>
      <x:c r="E11" s="65" t="str">
        <x:v>לא מיידי</x:v>
      </x:c>
      <x:c r="F11" s="65" t="str">
        <x:v>מפחית חלופות, אך אינו נדרש בדרך כלל כקו ראשון.</x:v>
      </x:c>
      <x:c r="G11" s="65" t="str">
        <x:v>בדרך כלל לא מרכזי</x:v>
      </x:c>
      <x:c r="H11" s="65" t="str">
        <x:v>MRI לב לגיטימי, אך תרומתו נמוכה במקרה זה ללא רמז מכוון.</x:v>
      </x:c>
      <x:c r="I11" s="48" t="str">
        <x:v>מאושר</x:v>
      </x:c>
    </x:row>
    <x:row r="12">
      <x:c r="A12" s="47" t="str">
        <x:v>CASE-001-FT-008</x:v>
      </x:c>
      <x:c r="B12" s="65" t="str">
        <x:v>FT-008</x:v>
      </x:c>
      <x:c r="C12" s="65" t="str">
        <x:v>אנגיוגרפיה כלילית בצנתור אבחנתי</x:v>
      </x:c>
      <x:c r="D12" s="65" t="str">
        <x:v>היצרות של כ-70% בעורק כלילי אחד; ללא חסימה מלאה וללא עדות לאירוע חריף.</x:v>
      </x:c>
      <x:c r="E12" s="65" t="str">
        <x:v>לא מיידי</x:v>
      </x:c>
      <x:c r="F12" s="65" t="str">
        <x:v>מאשר את האנטומיה ומאפשר החלטה טיפולית בהמשך.</x:v>
      </x:c>
      <x:c r="G12" s="65" t="str">
        <x:v>חשוב</x:v>
      </x:c>
      <x:c r="H12" s="65" t="str">
        <x:v>צנתור הוא פולשני ואינו אוטומטית הצעד הראשון במקרה יציב.</x:v>
      </x:c>
      <x:c r="I12" s="48" t="str">
        <x:v>מאושר</x:v>
      </x:c>
    </x:row>
    <x:row r="13">
      <x:c r="A13" s="49" t="str">
        <x:v>CASE-001-FT-009</x:v>
      </x:c>
      <x:c r="B13" s="66" t="str">
        <x:v>FT-009</x:v>
      </x:c>
      <x:c r="C13" s="66" t="str">
        <x:v>US בטן או כליות</x:v>
      </x:c>
      <x:c r="D13" s="66" t="str">
        <x:v>אולטרסאונד בטן וכליות ללא ממצא משמעותי.</x:v>
      </x:c>
      <x:c r="E13" s="66" t="str">
        <x:v>לא מיידי</x:v>
      </x:c>
      <x:c r="F13" s="66" t="str">
        <x:v>אינו מסביר את התלונה ואינו מקדם את האבחנה במקרה זה.</x:v>
      </x:c>
      <x:c r="G13" s="66" t="str">
        <x:v>בדרך כלל לא מרכזי</x:v>
      </x:c>
      <x:c r="H13" s="66" t="str">
        <x:v>US בטן או כליות לגיטימי, אך תרומתו נמוכה במקרה זה ללא רמז מכוון.</x:v>
      </x:c>
      <x:c r="I13" s="50" t="str">
        <x:v>מאושר</x:v>
      </x:c>
    </x:row>
  </x:sheetData>
  <x:mergeCells>
    <x:mergeCell ref="A1:I1"/>
    <x:mergeCell ref="A2:I2"/>
  </x:mergeCells>
  <x:conditionalFormatting sqref="G5:G13">
    <x:cfRule type="containsText" dxfId="12" priority="1" operator="containsText" text="חיוני במקרה"/>
    <x:cfRule type="containsText" dxfId="13" priority="2" operator="containsText" text="חשוב"/>
    <x:cfRule type="containsText" dxfId="14" priority="3" operator="containsText" text="משלים"/>
    <x:cfRule type="containsText" dxfId="15" priority="4" operator="containsText" text="בדרך כלל לא מרכזי"/>
  </x:conditionalFormatting>
  <x:dataValidations count="1">
    <x:dataValidation type="list" sqref="G5:G13">
      <x:formula1>"חיוני במקרה,חשוב,משלים,בדרך כלל לא מרכזי"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83e1ce206844e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6.670000076293945" hidden="0" customWidth="1"/>
    <x:col min="3" max="3" width="33.33000183105469" hidden="0" customWidth="1"/>
    <x:col min="4" max="4" width="21.110000610351562" hidden="0" customWidth="1"/>
    <x:col min="5" max="5" width="55.560001373291016" hidden="0" customWidth="1"/>
  </x:cols>
  <x:sheetData>
    <x:row r="1" ht="30" customHeight="1">
      <x:c r="A1" s="4" t="str">
        <x:v>אבחנה, טיפול ובטיחות</x:v>
      </x:c>
      <x:c r="B1" s="4" t="str">
        <x:v>אבחנה, טיפול ובטיחות</x:v>
      </x:c>
      <x:c r="C1" s="4" t="str">
        <x:v>אבחנה, טיפול ובטיחות</x:v>
      </x:c>
      <x:c r="D1" s="4" t="str">
        <x:v>אבחנה, טיפול ובטיחות</x:v>
      </x:c>
      <x:c r="E1" s="4" t="str">
        <x:v>אבחנה, טיפול ובטיחות</x:v>
      </x:c>
    </x:row>
    <x:row r="2" ht="30" customHeight="1">
      <x:c r="A2" s="9" t="str">
        <x:v>אפשר לקבל מסלולים שונים כאשר הם מנומקים. אין לדרוש את כל השורות מן התלמיד.</x:v>
      </x:c>
      <x:c r="B2" s="9" t="str">
        <x:v>אפשר לקבל מסלולים שונים כאשר הם מנומקים. אין לדרוש את כל השורות מן התלמיד.</x:v>
      </x:c>
      <x:c r="C2" s="9" t="str">
        <x:v>אפשר לקבל מסלולים שונים כאשר הם מנומקים. אין לדרוש את כל השורות מן התלמיד.</x:v>
      </x:c>
      <x:c r="D2" s="9" t="str">
        <x:v>אפשר לקבל מסלולים שונים כאשר הם מנומקים. אין לדרוש את כל השורות מן התלמיד.</x:v>
      </x:c>
      <x:c r="E2" s="9" t="str">
        <x:v>אפשר לקבל מסלולים שונים כאשר הם מנומקים. אין לדרוש את כל השורות מן התלמיד.</x:v>
      </x:c>
    </x:row>
    <x:row r="4" ht="34" customHeight="1">
      <x:c r="A4" s="24" t="str">
        <x:v>מזהה</x:v>
      </x:c>
      <x:c r="B4" s="54" t="str">
        <x:v>שלב</x:v>
      </x:c>
      <x:c r="C4" s="54" t="str">
        <x:v>פעולה או אפשרות</x:v>
      </x:c>
      <x:c r="D4" s="54" t="str">
        <x:v>מעמד במקרה</x:v>
      </x:c>
      <x:c r="E4" s="25" t="str">
        <x:v>היגיון צפוי</x:v>
      </x:c>
    </x:row>
    <x:row r="5">
      <x:c r="A5" s="45" t="str">
        <x:v>DEC-001</x:v>
      </x:c>
      <x:c r="B5" s="64" t="str">
        <x:v>אבחנה מבדלת</x:v>
      </x:c>
      <x:c r="C5" s="64" t="str">
        <x:v>תעוקת חזה יציבה</x:v>
      </x:c>
      <x:c r="D5" s="64" t="str">
        <x:v>אבחנה מובילה</x:v>
      </x:c>
      <x:c r="E5" s="46" t="str">
        <x:v>דפוס צפוי במאמץ, חלוף במנוחה, יציבות לאורך חודשים וגורמי סיכון.</x:v>
      </x:c>
    </x:row>
    <x:row r="6">
      <x:c r="A6" s="47" t="str">
        <x:v>DEC-002</x:v>
      </x:c>
      <x:c r="B6" s="65" t="str">
        <x:v>אבחנה מבדלת</x:v>
      </x:c>
      <x:c r="C6" s="65" t="str">
        <x:v>תעוקת חזה בלתי יציבה</x:v>
      </x:c>
      <x:c r="D6" s="65" t="str">
        <x:v>חשוב לשקול אך פחות סבירה</x:v>
      </x:c>
      <x:c r="E6" s="48" t="str">
        <x:v>אין כאב במנוחה, אין החמרה ואין ירידה בסף המאמץ.</x:v>
      </x:c>
    </x:row>
    <x:row r="7">
      <x:c r="A7" s="47" t="str">
        <x:v>DEC-003</x:v>
      </x:c>
      <x:c r="B7" s="65" t="str">
        <x:v>אבחנה מבדלת</x:v>
      </x:c>
      <x:c r="C7" s="65" t="str">
        <x:v>אוטם בשריר הלב</x:v>
      </x:c>
      <x:c r="D7" s="65" t="str">
        <x:v>חלופה בטיחותית מרכזית אך אינה נתמכת</x:v>
      </x:c>
      <x:c r="E7" s="48" t="str">
        <x:v>אין אירוע ממושך פעיל, אין שינויי ST במנוחה ואין עליית טרופונין.</x:v>
      </x:c>
    </x:row>
    <x:row r="8">
      <x:c r="A8" s="47" t="str">
        <x:v>DEC-004</x:v>
      </x:c>
      <x:c r="B8" s="65" t="str">
        <x:v>אבחנה מבדלת</x:v>
      </x:c>
      <x:c r="C8" s="65" t="str">
        <x:v>כאב ממקור שרירי-שלדי</x:v>
      </x:c>
      <x:c r="D8" s="65" t="str">
        <x:v>חלופה סבירה אך חלשה</x:v>
      </x:c>
      <x:c r="E8" s="48" t="str">
        <x:v>הכאב אינו מופק בתנועה או במישוש ודפוסו קשור למאמץ אירובי.</x:v>
      </x:c>
    </x:row>
    <x:row r="9">
      <x:c r="A9" s="47" t="str">
        <x:v>DEC-005</x:v>
      </x:c>
      <x:c r="B9" s="65" t="str">
        <x:v>אבחנה מבדלת</x:v>
      </x:c>
      <x:c r="C9" s="65" t="str">
        <x:v>רפלוקס או מקור עיכולי</x:v>
      </x:c>
      <x:c r="D9" s="65" t="str">
        <x:v>חלופה אפשרית אך חלשה</x:v>
      </x:c>
      <x:c r="E9" s="48" t="str">
        <x:v>אין קשר קבוע לאוכל או צרבת והדפוס קשור למאמץ.</x:v>
      </x:c>
    </x:row>
    <x:row r="10">
      <x:c r="A10" s="47" t="str">
        <x:v>DEC-006</x:v>
      </x:c>
      <x:c r="B10" s="65" t="str">
        <x:v>אבחנה מבדלת</x:v>
      </x:c>
      <x:c r="C10" s="65" t="str">
        <x:v>חרדה או מתח</x:v>
      </x:c>
      <x:c r="D10" s="65" t="str">
        <x:v>גורם מחמיר אפשרי ולא הסבר מספק</x:v>
      </x:c>
      <x:c r="E10" s="48" t="str">
        <x:v>הדפוס הפיזי וגורמי הסיכון אינם מוסברים באמצעות מתח בלבד.</x:v>
      </x:c>
    </x:row>
    <x:row r="11">
      <x:c r="A11" s="47" t="str">
        <x:v>DEC-007</x:v>
      </x:c>
      <x:c r="B11" s="65" t="str">
        <x:v>אבחנה מבדלת</x:v>
      </x:c>
      <x:c r="C11" s="65" t="str">
        <x:v>גורם ריאתי</x:v>
      </x:c>
      <x:c r="D11" s="65" t="str">
        <x:v>פחות סביר</x:v>
      </x:c>
      <x:c r="E11" s="48" t="str">
        <x:v>אין כאב פלאוריטי, שיעול, חום, היפוקסמיה או ממצא ריאתי.</x:v>
      </x:c>
    </x:row>
    <x:row r="12">
      <x:c r="A12" s="47" t="str">
        <x:v>TRT-001</x:v>
      </x:c>
      <x:c r="B12" s="65" t="str">
        <x:v>המשך בירור</x:v>
      </x:c>
      <x:c r="C12" s="65" t="str">
        <x:v>הפניה להערכה קרדיולוגית</x:v>
      </x:c>
      <x:c r="D12" s="65" t="str">
        <x:v>חשוב</x:v>
      </x:c>
      <x:c r="E12" s="48" t="str">
        <x:v>נדרשת הערכת איסכמיה והחלטה על המשך בירור וטיפול.</x:v>
      </x:c>
    </x:row>
    <x:row r="13">
      <x:c r="A13" s="47" t="str">
        <x:v>TRT-002</x:v>
      </x:c>
      <x:c r="B13" s="65" t="str">
        <x:v>המשך בירור</x:v>
      </x:c>
      <x:c r="C13" s="65" t="str">
        <x:v>בדיקת מאמץ</x:v>
      </x:c>
      <x:c r="D13" s="65" t="str">
        <x:v>חיוני/מרכזי</x:v>
      </x:c>
      <x:c r="E13" s="48" t="str">
        <x:v>מתאימה לתסמינים צפויים במאמץ ויכולה לשחזר תסמין ושינוי ST.</x:v>
      </x:c>
    </x:row>
    <x:row r="14">
      <x:c r="A14" s="47" t="str">
        <x:v>TRT-003</x:v>
      </x:c>
      <x:c r="B14" s="65" t="str">
        <x:v>המשך בירור</x:v>
      </x:c>
      <x:c r="C14" s="65" t="str">
        <x:v>אקו לב</x:v>
      </x:c>
      <x:c r="D14" s="65" t="str">
        <x:v>חשוב או משלים</x:v>
      </x:c>
      <x:c r="E14" s="48" t="str">
        <x:v>מעריך מבנה ותפקוד; תקינות במנוחה אינה שוללת תעוקה.</x:v>
      </x:c>
    </x:row>
    <x:row r="15">
      <x:c r="A15" s="47" t="str">
        <x:v>TRT-004</x:v>
      </x:c>
      <x:c r="B15" s="65" t="str">
        <x:v>המשך בירור</x:v>
      </x:c>
      <x:c r="C15" s="65" t="str">
        <x:v>מיפוי לב או CT כלילי</x:v>
      </x:c>
      <x:c r="D15" s="65" t="str">
        <x:v>מקובל לפי המסלול</x:v>
      </x:c>
      <x:c r="E15" s="48" t="str">
        <x:v>יש לקבל בחירה מנומקת המתאימה לשאלה הקלינית.</x:v>
      </x:c>
    </x:row>
    <x:row r="16">
      <x:c r="A16" s="47" t="str">
        <x:v>TRT-005</x:v>
      </x:c>
      <x:c r="B16" s="65" t="str">
        <x:v>המשך בירור</x:v>
      </x:c>
      <x:c r="C16" s="65" t="str">
        <x:v>צנתור אבחנתי</x:v>
      </x:c>
      <x:c r="D16" s="65" t="str">
        <x:v>תלוי תוצאות וסיכון</x:v>
      </x:c>
      <x:c r="E16" s="48" t="str">
        <x:v>בדיקה פולשנית שאינה אוטומטית כצעד ראשון במקרה יציב.</x:v>
      </x:c>
    </x:row>
    <x:row r="17">
      <x:c r="A17" s="47" t="str">
        <x:v>TRT-006</x:v>
      </x:c>
      <x:c r="B17" s="65" t="str">
        <x:v>טיפול</x:v>
      </x:c>
      <x:c r="C17" s="65" t="str">
        <x:v>חידוש והקפדה על טיפול להורדת שומנים</x:v>
      </x:c>
      <x:c r="D17" s="65" t="str">
        <x:v>חיוני במקרה</x:v>
      </x:c>
      <x:c r="E17" s="48" t="str">
        <x:v>ממצא שומנים חריג והפסקת הסטטין מחייבים התייחסות.</x:v>
      </x:c>
    </x:row>
    <x:row r="18">
      <x:c r="A18" s="47" t="str">
        <x:v>TRT-007</x:v>
      </x:c>
      <x:c r="B18" s="65" t="str">
        <x:v>טיפול</x:v>
      </x:c>
      <x:c r="C18" s="65" t="str">
        <x:v>איזון לחץ דם והיענות לטיפול</x:v>
      </x:c>
      <x:c r="D18" s="65" t="str">
        <x:v>חיוני במקרה</x:v>
      </x:c>
      <x:c r="E18" s="48" t="str">
        <x:v>לחץ הדם גבוה וההיענות חלקית.</x:v>
      </x:c>
    </x:row>
    <x:row r="19">
      <x:c r="A19" s="47" t="str">
        <x:v>TRT-008</x:v>
      </x:c>
      <x:c r="B19" s="65" t="str">
        <x:v>טיפול</x:v>
      </x:c>
      <x:c r="C19" s="65" t="str">
        <x:v>הפסקת עישון או תוכנית הפחתה מובנית</x:v>
      </x:c>
      <x:c r="D19" s="65" t="str">
        <x:v>חיוני במקרה</x:v>
      </x:c>
      <x:c r="E19" s="48" t="str">
        <x:v>עישון הוא גורם סיכון מרכזי ובר שינוי.</x:v>
      </x:c>
    </x:row>
    <x:row r="20">
      <x:c r="A20" s="47" t="str">
        <x:v>TRT-009</x:v>
      </x:c>
      <x:c r="B20" s="65" t="str">
        <x:v>טיפול</x:v>
      </x:c>
      <x:c r="C20" s="65" t="str">
        <x:v>תזונה, משקל ופעילות מותאמת</x:v>
      </x:c>
      <x:c r="D20" s="65" t="str">
        <x:v>חשוב</x:v>
      </x:c>
      <x:c r="E20" s="48" t="str">
        <x:v>יש להציע שינוי מעשי ומדורג תוך התייחסות לתסמינים במאמץ.</x:v>
      </x:c>
    </x:row>
    <x:row r="21">
      <x:c r="A21" s="47" t="str">
        <x:v>TRT-010</x:v>
      </x:c>
      <x:c r="B21" s="65" t="str">
        <x:v>טיפול</x:v>
      </x:c>
      <x:c r="C21" s="65" t="str">
        <x:v>טיפול אנטי-אנגינוטי</x:v>
      </x:c>
      <x:c r="D21" s="65" t="str">
        <x:v>מקובל עם נימוק</x:v>
      </x:c>
      <x:c r="E21" s="48" t="str">
        <x:v>יש להסביר את מטרת הטיפול; אין דרישה למינון שאינו בחומר הלימוד.</x:v>
      </x:c>
    </x:row>
    <x:row r="22">
      <x:c r="A22" s="47" t="str">
        <x:v>TRT-011</x:v>
      </x:c>
      <x:c r="B22" s="65" t="str">
        <x:v>טיפול</x:v>
      </x:c>
      <x:c r="C22" s="65" t="str">
        <x:v>טיפול אנטי-טסייתי</x:v>
      </x:c>
      <x:c r="D22" s="65" t="str">
        <x:v>מקובל עם נימוק</x:v>
      </x:c>
      <x:c r="E22" s="48" t="str">
        <x:v>יש לקבל החלטה סבירה התואמת את חומר הלימוד ושיקול הסיכון.</x:v>
      </x:c>
    </x:row>
    <x:row r="23">
      <x:c r="A23" s="47" t="str">
        <x:v>SAFE-001</x:v>
      </x:c>
      <x:c r="B23" s="65" t="str">
        <x:v>בטיחות</x:v>
      </x:c>
      <x:c r="C23" s="65" t="str">
        <x:v>הפסקת מאמץ ומנוחה בזמן אירוע</x:v>
      </x:c>
      <x:c r="D23" s="65" t="str">
        <x:v>חיוני במקרה</x:v>
      </x:c>
      <x:c r="E23" s="48" t="str">
        <x:v>הנחיה מיידית וברורה בזמן הופעת התסמין.</x:v>
      </x:c>
    </x:row>
    <x:row r="24">
      <x:c r="A24" s="47" t="str">
        <x:v>SAFE-002</x:v>
      </x:c>
      <x:c r="B24" s="65" t="str">
        <x:v>בטיחות</x:v>
      </x:c>
      <x:c r="C24" s="65" t="str">
        <x:v>פנייה דחופה במקרה של שינוי מדאיג</x:v>
      </x:c>
      <x:c r="D24" s="65" t="str">
        <x:v>חיוני במקרה</x:v>
      </x:c>
      <x:c r="E24" s="48" t="str">
        <x:v>כאב במנוחה, כאב ממושך או מחמיר, אי-חלוף או תסמינים חריגים מחייבים פנייה דחופה.</x:v>
      </x:c>
    </x:row>
    <x:row r="25">
      <x:c r="A25" s="49" t="str">
        <x:v>FU-001</x:v>
      </x:c>
      <x:c r="B25" s="66" t="str">
        <x:v>מעקב</x:v>
      </x:c>
      <x:c r="C25" s="66" t="str">
        <x:v>מעקב אחר תסמינים, לחץ דם, שומנים והיענות</x:v>
      </x:c>
      <x:c r="D25" s="66" t="str">
        <x:v>חשוב</x:v>
      </x:c>
      <x:c r="E25" s="50" t="str">
        <x:v>מאפשר לבדוק תגובה לטיפול והאם הדפוס נשאר יציב.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4ff44713d1e402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16.670000076293945" hidden="0" customWidth="1"/>
    <x:col min="3" max="3" width="24.440000534057617" hidden="0" customWidth="1"/>
    <x:col min="4" max="4" width="72.22000122070312" hidden="0" customWidth="1"/>
  </x:cols>
  <x:sheetData>
    <x:row r="1" ht="30" customHeight="1">
      <x:c r="A1" s="4" t="str">
        <x:v>כללי משוב ושיחה</x:v>
      </x:c>
      <x:c r="B1" s="4" t="str">
        <x:v>כללי משוב ושיחה</x:v>
      </x:c>
      <x:c r="C1" s="4" t="str">
        <x:v>כללי משוב ושיחה</x:v>
      </x:c>
      <x:c r="D1" s="4" t="str">
        <x:v>כללי משוב ושיחה</x:v>
      </x:c>
    </x:row>
    <x:row r="2" ht="30" customHeight="1">
      <x:c r="A2" s="9" t="str">
        <x:v>כללים תיאוריים בלבד, ללא ניקוד. המשוב מתמקד בתוכן הקליני ולא ברהיטות.</x:v>
      </x:c>
      <x:c r="B2" s="9" t="str">
        <x:v>כללים תיאוריים בלבד, ללא ניקוד. המשוב מתמקד בתוכן הקליני ולא ברהיטות.</x:v>
      </x:c>
      <x:c r="C2" s="9" t="str">
        <x:v>כללים תיאוריים בלבד, ללא ניקוד. המשוב מתמקד בתוכן הקליני ולא ברהיטות.</x:v>
      </x:c>
      <x:c r="D2" s="9" t="str">
        <x:v>כללים תיאוריים בלבד, ללא ניקוד. המשוב מתמקד בתוכן הקליני ולא ברהיטות.</x:v>
      </x:c>
    </x:row>
    <x:row r="4" ht="34" customHeight="1">
      <x:c r="A4" s="24" t="str">
        <x:v>מזהה</x:v>
      </x:c>
      <x:c r="B4" s="54" t="str">
        <x:v>תחום</x:v>
      </x:c>
      <x:c r="C4" s="54" t="str">
        <x:v>סוג כלל</x:v>
      </x:c>
      <x:c r="D4" s="25" t="str">
        <x:v>הנחיה למערכת</x:v>
      </x:c>
    </x:row>
    <x:row r="5">
      <x:c r="A5" s="45" t="str">
        <x:v>FB-001</x:v>
      </x:c>
      <x:c r="B5" s="64" t="str">
        <x:v>אנמנזה</x:v>
      </x:c>
      <x:c r="C5" s="64" t="str">
        <x:v>מה נעשה היטב</x:v>
      </x:c>
      <x:c r="D5" s="46" t="str">
        <x:v>לזהות איסוף מידע שקידם את הבנת דפוס המאמץ, היציבות וגורמי הסיכון.</x:v>
      </x:c>
    </x:row>
    <x:row r="6">
      <x:c r="A6" s="47" t="str">
        <x:v>FB-002</x:v>
      </x:c>
      <x:c r="B6" s="65" t="str">
        <x:v>אנמנזה</x:v>
      </x:c>
      <x:c r="C6" s="65" t="str">
        <x:v>לשקול בשנית האם היה חשוב</x:v>
      </x:c>
      <x:c r="D6" s="48" t="str">
        <x:v>להציג רק שאלות בעלות תרומה נמוכה ולנמק בקצרה.</x:v>
      </x:c>
    </x:row>
    <x:row r="7">
      <x:c r="A7" s="47" t="str">
        <x:v>FB-003</x:v>
      </x:c>
      <x:c r="B7" s="65" t="str">
        <x:v>אנמנזה</x:v>
      </x:c>
      <x:c r="C7" s="65" t="str">
        <x:v>דברים שחשוב היה לחשוב עליהם</x:v>
      </x:c>
      <x:c r="D7" s="48" t="str">
        <x:v>להציג חוסרים משמעותיים בלבד, ובהם דפוס התסמין, סימני אזהרה וגורמי סיכון מרכזיים.</x:v>
      </x:c>
    </x:row>
    <x:row r="8">
      <x:c r="A8" s="47" t="str">
        <x:v>FB-004</x:v>
      </x:c>
      <x:c r="B8" s="65" t="str">
        <x:v>בדיקה גופנית</x:v>
      </x:c>
      <x:c r="C8" s="65" t="str">
        <x:v>מוקד</x:v>
      </x:c>
      <x:c r="D8" s="48" t="str">
        <x:v>מדדים, מצב כללי, לב-ריאות וסימני גודש או חלופות רלוונטיות.</x:v>
      </x:c>
    </x:row>
    <x:row r="9">
      <x:c r="A9" s="47" t="str">
        <x:v>FB-005</x:v>
      </x:c>
      <x:c r="B9" s="65" t="str">
        <x:v>בדיקות מיידיות</x:v>
      </x:c>
      <x:c r="C9" s="65" t="str">
        <x:v>מוקד</x:v>
      </x:c>
      <x:c r="D9" s="48" t="str">
        <x:v>להבחין בין שלילת אירוע חריף לבין הוכחת תעוקה; אק״ג תקין במנוחה אינו שולל.</x:v>
      </x:c>
    </x:row>
    <x:row r="10">
      <x:c r="A10" s="47" t="str">
        <x:v>FB-006</x:v>
      </x:c>
      <x:c r="B10" s="65" t="str">
        <x:v>בדיקות המשך</x:v>
      </x:c>
      <x:c r="C10" s="65" t="str">
        <x:v>מוקד</x:v>
      </x:c>
      <x:c r="D10" s="48" t="str">
        <x:v>להעריך התאמה לשאלה הקלינית ואת פרשנות התוצאה, לא רק את שם הבדיקה.</x:v>
      </x:c>
    </x:row>
    <x:row r="11">
      <x:c r="A11" s="47" t="str">
        <x:v>FB-007</x:v>
      </x:c>
      <x:c r="B11" s="65" t="str">
        <x:v>הנמקות</x:v>
      </x:c>
      <x:c r="C11" s="65" t="str">
        <x:v>מוקד</x:v>
      </x:c>
      <x:c r="D11" s="48" t="str">
        <x:v>להעריך כוונה קלינית, קשר למקרה, תרומה להחלטה ומידתיות; לא רהיטות.</x:v>
      </x:c>
    </x:row>
    <x:row r="12">
      <x:c r="A12" s="47" t="str">
        <x:v>FB-008</x:v>
      </x:c>
      <x:c r="B12" s="65" t="str">
        <x:v>אבחנה מבדלת</x:v>
      </x:c>
      <x:c r="C12" s="65" t="str">
        <x:v>מוקד</x:v>
      </x:c>
      <x:c r="D12" s="48" t="str">
        <x:v>להכיר באבחנה מובילה נכונה ולבדוק התייחסות לחלופות המסוכנות העיקריות.</x:v>
      </x:c>
    </x:row>
    <x:row r="13">
      <x:c r="A13" s="47" t="str">
        <x:v>FB-009</x:v>
      </x:c>
      <x:c r="B13" s="65" t="str">
        <x:v>רשומה רפואית</x:v>
      </x:c>
      <x:c r="C13" s="65" t="str">
        <x:v>מוקד</x:v>
      </x:c>
      <x:c r="D13" s="48" t="str">
        <x:v>ארגון, תמציתיות, שפה רפואית, עקביות ותוכנית רלוונטית.</x:v>
      </x:c>
    </x:row>
    <x:row r="14">
      <x:c r="A14" s="47" t="str">
        <x:v>FB-010</x:v>
      </x:c>
      <x:c r="B14" s="65" t="str">
        <x:v>הסבר למטופל</x:v>
      </x:c>
      <x:c r="C14" s="65" t="str">
        <x:v>מוקד</x:v>
      </x:c>
      <x:c r="D14" s="48" t="str">
        <x:v>שפה פשוטה, דיוק, אמפתיה, עמדה ברורה, תוכנית, רשת ביטחון ווידוא הבנה.</x:v>
      </x:c>
    </x:row>
    <x:row r="15">
      <x:c r="A15" s="47" t="str">
        <x:v>FB-011</x:v>
      </x:c>
      <x:c r="B15" s="65" t="str">
        <x:v>כללי</x:v>
      </x:c>
      <x:c r="C15" s="65" t="str">
        <x:v>היקף</x:v>
      </x:c>
      <x:c r="D15" s="48" t="str">
        <x:v>בדרך כלל 3–5 נקודות משמעותיות בכל תחום; ללא רשימת מכולת.</x:v>
      </x:c>
    </x:row>
    <x:row r="16">
      <x:c r="A16" s="47" t="str">
        <x:v>FB-012</x:v>
      </x:c>
      <x:c r="B16" s="65" t="str">
        <x:v>כללי</x:v>
      </x:c>
      <x:c r="C16" s="65" t="str">
        <x:v>ללא ניקוד</x:v>
      </x:c>
      <x:c r="D16" s="48" t="str">
        <x:v>אין ציונים, כוכבים או דרגות ביצוע.</x:v>
      </x:c>
    </x:row>
    <x:row r="17">
      <x:c r="A17" s="47" t="str">
        <x:v>FB-013</x:v>
      </x:c>
      <x:c r="B17" s="65" t="str">
        <x:v>כללי</x:v>
      </x:c>
      <x:c r="C17" s="65" t="str">
        <x:v>משקל התוכן</x:v>
      </x:c>
      <x:c r="D17" s="48" t="str">
        <x:v>אין לתגמל ניסוח רהוט, אורך או ז׳רגון על חשבון תוכן קליני.</x:v>
      </x:c>
    </x:row>
    <x:row r="18">
      <x:c r="A18" s="47" t="str">
        <x:v>FB-014</x:v>
      </x:c>
      <x:c r="B18" s="65" t="str">
        <x:v>כללי</x:v>
      </x:c>
      <x:c r="C18" s="65" t="str">
        <x:v>שאלה שלא הובנה</x:v>
      </x:c>
      <x:c r="D18" s="48" t="str">
        <x:v>אין לסמן כהשמטה שאלה שנשאלה אך לא הובנה; יש לתעד בקשת הבהרה וניסוח מחדש.</x:v>
      </x:c>
    </x:row>
    <x:row r="19">
      <x:c r="A19" s="47" t="str">
        <x:v>FB-015</x:v>
      </x:c>
      <x:c r="B19" s="65" t="str">
        <x:v>כללי</x:v>
      </x:c>
      <x:c r="C19" s="65" t="str">
        <x:v>הצלחה חלקית</x:v>
      </x:c>
      <x:c r="D19" s="48" t="str">
        <x:v>אם התלמיד הגיע לאבחנה סבירה על סמך מידע מספיק, יש לומר זאת גם אם נותרו פרטים שלא בירר.</x:v>
      </x:c>
    </x:row>
    <x:row r="20">
      <x:c r="A20" s="47" t="str">
        <x:v>DIA-001</x:v>
      </x:c>
      <x:c r="B20" s="65" t="str">
        <x:v>שיחה</x:v>
      </x:c>
      <x:c r="C20" s="65" t="str">
        <x:v>שאלה ברורה</x:v>
      </x:c>
      <x:c r="D20" s="48" t="str">
        <x:v>לזהות כוונה, לשלוף את הערך מן התיק ולענות באופן טבעי בגוף ראשון.</x:v>
      </x:c>
    </x:row>
    <x:row r="21">
      <x:c r="A21" s="47" t="str">
        <x:v>DIA-002</x:v>
      </x:c>
      <x:c r="B21" s="65" t="str">
        <x:v>שיחה</x:v>
      </x:c>
      <x:c r="C21" s="65" t="str">
        <x:v>שאלה עמומה</x:v>
      </x:c>
      <x:c r="D21" s="48" t="str">
        <x:v>לבקש הבהרה קצרה בלי לרמוז מה כדאי לשאול.</x:v>
      </x:c>
    </x:row>
    <x:row r="22">
      <x:c r="A22" s="47" t="str">
        <x:v>DIA-003</x:v>
      </x:c>
      <x:c r="B22" s="65" t="str">
        <x:v>שיחה</x:v>
      </x:c>
      <x:c r="C22" s="65" t="str">
        <x:v>שאלה מחוץ לתיק</x:v>
      </x:c>
      <x:c r="D22" s="48" t="str">
        <x:v>להשיב באופן אנושי: לא ידוע לי, איני זוכר או לא שמתי לב; אין להמציא מידע.</x:v>
      </x:c>
    </x:row>
    <x:row r="23">
      <x:c r="A23" s="49" t="str">
        <x:v>DIA-004</x:v>
      </x:c>
      <x:c r="B23" s="66" t="str">
        <x:v>שיחה</x:v>
      </x:c>
      <x:c r="C23" s="66" t="str">
        <x:v>שאלה רחוקה קלינית</x:v>
      </x:c>
      <x:c r="D23" s="50" t="str">
        <x:v>אפשר לבקש מהתלמיד להסביר מדוע השאלה חשובה לפני מתן מענה נוסף.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7966f76c75c48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130" t="str">
        <x:v>הפניה לתבנית המקרה הכללית</x:v>
      </x:c>
      <x:c r="B1" s="130"/>
      <x:c r="C1" s="130"/>
      <x:c r="D1" s="130"/>
      <x:c r="E1" s="130"/>
      <x:c r="F1" s="130"/>
      <x:c r="G1" s="130"/>
      <x:c r="H1" s="130"/>
    </x:row>
    <x:row r="2" ht="56" customHeight="1">
      <x:c r="A2" s="132" t="str">
        <x:v>אין לשכפל מקרה חדש מתוך CASE-001. יש להשתמש בקובץ clinical-simulation-case-template-v2-he.xlsx, שהוא מקור האמת למבנה תיק חדש.</x:v>
      </x:c>
      <x:c r="B2" s="132"/>
      <x:c r="C2" s="132"/>
      <x:c r="D2" s="132"/>
      <x:c r="E2" s="132"/>
      <x:c r="F2" s="132"/>
      <x:c r="G2" s="132"/>
      <x:c r="H2" s="132"/>
    </x:row>
    <x:row r="4" ht="34" customHeight="1">
      <x:c r="A4"/>
      <x:c r="B4"/>
      <x:c r="C4"/>
    </x:row>
    <x:row r="5">
      <x:c r="A5"/>
      <x:c r="B5"/>
      <x:c r="C5"/>
    </x:row>
    <x:row r="6">
      <x:c r="A6"/>
      <x:c r="B6"/>
      <x:c r="C6"/>
    </x:row>
    <x:row r="7">
      <x:c r="A7"/>
      <x:c r="B7"/>
      <x:c r="C7"/>
    </x:row>
    <x:row r="8">
      <x:c r="A8"/>
      <x:c r="B8"/>
      <x:c r="C8"/>
    </x:row>
    <x:row r="9">
      <x:c r="A9"/>
      <x:c r="B9"/>
      <x:c r="C9"/>
    </x:row>
    <x:row r="10">
      <x:c r="A10"/>
      <x:c r="B10"/>
      <x:c r="C10"/>
    </x:row>
    <x:row r="11">
      <x:c r="A11"/>
      <x:c r="B11"/>
      <x:c r="C11"/>
    </x:row>
    <x:row r="12">
      <x:c r="A12"/>
      <x:c r="B12"/>
      <x:c r="C12"/>
    </x:row>
  </x:sheetData>
  <x:mergeCells>
    <x:mergeCell ref="A1:C1"/>
    <x:mergeCell ref="A2:C2"/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5" hidden="0" customWidth="1"/>
    <x:col min="4" max="4" width="15" hidden="0" customWidth="1"/>
    <x:col min="5" max="5" width="14" hidden="0" customWidth="1"/>
    <x:col min="6" max="6" width="14" hidden="0" customWidth="1"/>
    <x:col min="7" max="7" width="18" hidden="0" customWidth="1"/>
    <x:col min="8" max="8" width="18" hidden="0" customWidth="1"/>
  </x:cols>
  <x:sheetData>
    <x:row r="1" ht="30" customHeight="1">
      <x:c r="A1" s="74" t="str">
        <x:v>בקרת איכות אוטומטית</x:v>
      </x:c>
      <x:c r="B1" s="74"/>
      <x:c r="C1" s="74"/>
      <x:c r="D1" s="74"/>
      <x:c r="E1" s="74"/>
      <x:c r="F1" s="74"/>
      <x:c r="G1" s="74"/>
      <x:c r="H1" s="74"/>
    </x:row>
    <x:row r="2" ht="34" customHeight="1">
      <x:c r="A2" s="79" t="str">
        <x:v>בדיקות מבנה, שיוך מזהים, מקור אמת יחיד לערכים מספריים והשלמת פרסונה.</x:v>
      </x:c>
      <x:c r="B2" s="79"/>
      <x:c r="C2" s="79"/>
      <x:c r="D2" s="79"/>
      <x:c r="E2" s="79"/>
      <x:c r="F2" s="79"/>
      <x:c r="G2" s="79"/>
      <x:c r="H2" s="79"/>
    </x:row>
    <x:row r="4">
      <x:c r="A4" s="85" t="str">
        <x:v>תחום</x:v>
      </x:c>
      <x:c r="B4" s="85" t="str">
        <x:v>צפוי</x:v>
      </x:c>
      <x:c r="C4" s="85" t="str">
        <x:v>מזהים בפועל</x:v>
      </x:c>
      <x:c r="D4" s="85" t="str">
        <x:v>מזהים כפולים</x:v>
      </x:c>
      <x:c r="E4" s="85" t="str">
        <x:v>מזהים זרים</x:v>
      </x:c>
      <x:c r="F4" s="85" t="str">
        <x:v>מזהים חסרים</x:v>
      </x:c>
      <x:c r="G4" s="85" t="str">
        <x:v>שורות טיוטה/חסרות</x:v>
      </x:c>
      <x:c r="H4" s="85" t="str">
        <x:v>סטטוס מבנה</x:v>
      </x:c>
    </x:row>
    <x:row r="5">
      <x:c r="A5" s="105" t="str">
        <x:v>אנמנזה</x:v>
      </x:c>
      <x:c r="B5" s="106" t="n">
        <x:v>89</x:v>
      </x:c>
      <x:c r="C5" s="106" t="n">
        <x:f>COUNTA('אנמנזה'!$B$5:$B$93)</x:f>
        <x:v>89</x:v>
      </x:c>
      <x:c r="D5" s="106" t="n">
        <x:f>SUMPRODUCT(--(COUNTIF('אנמנזה'!$B$5:$B$93,'אנמנזה'!$B$5:$B$93)&gt;1))</x:f>
        <x:v>0</x:v>
      </x:c>
      <x:c r="E5" s="106" t="n">
        <x:f>MAX(0,C5-SUM('מילון_מזהים'!$B$5:$B$93))</x:f>
        <x:v>0</x:v>
      </x:c>
      <x:c r="F5" s="106" t="n">
        <x:f>COUNTIF('מילון_מזהים'!$B$5:$B$93,0)</x:f>
        <x:v>0</x:v>
      </x:c>
      <x:c r="G5" s="106" t="n">
        <x:f>COUNTIF('אנמנזה'!$G$5:$G$93,"טיוטה")</x:f>
        <x:v>0</x:v>
      </x:c>
      <x:c r="H5" s="107" t="str">
        <x:f>IF(AND(C5=B5,D5=0,E5=0,F5=0),"תקין","דורש בדיקה")</x:f>
        <x:v>תקין</x:v>
      </x:c>
    </x:row>
    <x:row r="6">
      <x:c r="A6" s="108" t="str">
        <x:v>בדיקה גופנית</x:v>
      </x:c>
      <x:c r="B6" s="109" t="n">
        <x:v>45</x:v>
      </x:c>
      <x:c r="C6" s="109" t="n">
        <x:f>COUNTA('בדיקה_גופנית'!$B$5:$B$49)</x:f>
        <x:v>45</x:v>
      </x:c>
      <x:c r="D6" s="109" t="n">
        <x:f>SUMPRODUCT(--(COUNTIF('בדיקה_גופנית'!$B$5:$B$49,'בדיקה_גופנית'!$B$5:$B$49)&gt;1))</x:f>
        <x:v>0</x:v>
      </x:c>
      <x:c r="E6" s="109" t="n">
        <x:f>MAX(0,C6-SUM('מילון_מזהים'!$E$5:$E$49))</x:f>
        <x:v>0</x:v>
      </x:c>
      <x:c r="F6" s="109" t="n">
        <x:f>COUNTIF('מילון_מזהים'!$E$5:$E$49,0)</x:f>
        <x:v>0</x:v>
      </x:c>
      <x:c r="G6" s="109" t="n">
        <x:f>COUNTIF('בדיקה_גופנית'!$G$5:$G$49,"טיוטה")</x:f>
        <x:v>0</x:v>
      </x:c>
      <x:c r="H6" s="110" t="str">
        <x:f>IF(AND(C6=B6,D6=0,E6=0,F6=0),"תקין","דורש בדיקה")</x:f>
        <x:v>תקין</x:v>
      </x:c>
    </x:row>
    <x:row r="7">
      <x:c r="A7" s="108" t="str">
        <x:v>בדיקות מיידיות</x:v>
      </x:c>
      <x:c r="B7" s="109" t="n">
        <x:v>33</x:v>
      </x:c>
      <x:c r="C7" s="109" t="n">
        <x:f>COUNTA('בדיקות_מיידיות'!$B$5:$B$37)</x:f>
        <x:v>33</x:v>
      </x:c>
      <x:c r="D7" s="109" t="n">
        <x:f>SUMPRODUCT(--(COUNTIF('בדיקות_מיידיות'!$B$5:$B$37,'בדיקות_מיידיות'!$B$5:$B$37)&gt;1))</x:f>
        <x:v>0</x:v>
      </x:c>
      <x:c r="E7" s="109" t="n">
        <x:f>MAX(0,C7-SUM('מילון_מזהים'!$H$5:$H$37))</x:f>
        <x:v>0</x:v>
      </x:c>
      <x:c r="F7" s="109" t="n">
        <x:f>COUNTIF('מילון_מזהים'!$H$5:$H$37,0)</x:f>
        <x:v>0</x:v>
      </x:c>
      <x:c r="G7" s="109" t="n">
        <x:f>COUNTIF('בדיקות_מיידיות'!$K$5:$K$37,"טיוטה")</x:f>
        <x:v>0</x:v>
      </x:c>
      <x:c r="H7" s="110" t="str">
        <x:f>IF(AND(C7=B7,D7=0,E7=0,F7=0),"תקין","דורש בדיקה")</x:f>
        <x:v>תקין</x:v>
      </x:c>
    </x:row>
    <x:row r="8">
      <x:c r="A8" s="108" t="str">
        <x:v>בדיקות המשך</x:v>
      </x:c>
      <x:c r="B8" s="109" t="n">
        <x:v>9</x:v>
      </x:c>
      <x:c r="C8" s="109" t="n">
        <x:f>COUNTA('בדיקות_המשך'!$B$5:$B$13)</x:f>
        <x:v>9</x:v>
      </x:c>
      <x:c r="D8" s="109" t="n">
        <x:f>SUMPRODUCT(--(COUNTIF('בדיקות_המשך'!$B$5:$B$13,'בדיקות_המשך'!$B$5:$B$13)&gt;1))</x:f>
        <x:v>0</x:v>
      </x:c>
      <x:c r="E8" s="109" t="n">
        <x:f>MAX(0,C8-SUM('מילון_מזהים'!$K$5:$K$13))</x:f>
        <x:v>0</x:v>
      </x:c>
      <x:c r="F8" s="109" t="n">
        <x:f>COUNTIF('מילון_מזהים'!$K$5:$K$13,0)</x:f>
        <x:v>0</x:v>
      </x:c>
      <x:c r="G8" s="109" t="n">
        <x:f>COUNTIF('בדיקות_המשך'!$I$5:$I$13,"טיוטה")</x:f>
        <x:v>0</x:v>
      </x:c>
      <x:c r="H8" s="110" t="str">
        <x:f>IF(AND(C8=B8,D8=0,E8=0,F8=0),"תקין","דורש בדיקה")</x:f>
        <x:v>תקין</x:v>
      </x:c>
    </x:row>
    <x:row r="9">
      <x:c r="A9" s="111" t="str">
        <x:v>מדדים מספריים</x:v>
      </x:c>
      <x:c r="B9" s="112" t="n">
        <x:v>32</x:v>
      </x:c>
      <x:c r="C9" s="112" t="n">
        <x:f>COUNTA('תוצאות_מספריות'!$A$5:$A$36)</x:f>
        <x:v>32</x:v>
      </x:c>
      <x:c r="D9" s="112" t="n">
        <x:f>SUMPRODUCT(--(COUNTIF('תוצאות_מספריות'!$A$5:$A$36,'תוצאות_מספריות'!$A$5:$A$36)&gt;1))</x:f>
        <x:v>0</x:v>
      </x:c>
      <x:c r="E9" s="112" t="n">
        <x:f>MAX(0,C9-SUM('מדדים_מספריים'!$G$5:$G$36))</x:f>
        <x:v>0</x:v>
      </x:c>
      <x:c r="F9" s="112" t="n">
        <x:f>COUNTIF('מדדים_מספריים'!$G$5:$G$36,0)</x:f>
        <x:v>0</x:v>
      </x:c>
      <x:c r="G9" s="112" t="n">
        <x:f>COUNTIF('תוצאות_מספריות'!$I$5:$I$36,"טיוטה")</x:f>
        <x:v>0</x:v>
      </x:c>
      <x:c r="H9" s="113" t="str">
        <x:f>IF(AND(C9=B9,D9=0,E9=0,F9=0),"תקין","דורש בדיקה")</x:f>
        <x:v>תקין</x:v>
      </x:c>
    </x:row>
    <x:row r="10">
      <x:c r="A10"/>
      <x:c r="B10"/>
      <x:c r="C10"/>
      <x:c r="D10"/>
    </x:row>
    <x:row r="11" ht="32" customHeight="1">
      <x:c r="A11" s="155" t="str">
        <x:v>בדיקת תוכן</x:v>
      </x:c>
      <x:c r="B11" s="155" t="str">
        <x:v>כלל</x:v>
      </x:c>
      <x:c r="C11" s="156"/>
      <x:c r="D11" s="156"/>
      <x:c r="E11" s="156"/>
      <x:c r="F11" s="156"/>
      <x:c r="G11" s="156"/>
      <x:c r="H11" s="156"/>
    </x:row>
    <x:row r="12" ht="32" customHeight="1">
      <x:c r="A12" s="105" t="str">
        <x:v>מענה סמנטי</x:v>
      </x:c>
      <x:c r="B12" s="107" t="str">
        <x:v>המערכת מסתמכת על משמעות השאלה, לא על התאמת מילות מפתח.</x:v>
      </x:c>
      <x:c r="C12" s="156"/>
      <x:c r="D12" s="156"/>
      <x:c r="E12" s="156"/>
      <x:c r="F12" s="156"/>
      <x:c r="G12" s="156"/>
      <x:c r="H12" s="156"/>
    </x:row>
    <x:row r="13" ht="32" customHeight="1">
      <x:c r="A13" s="108" t="str">
        <x:v>מענה ממוקד</x:v>
      </x:c>
      <x:c r="B13" s="110" t="str">
        <x:v>המטופל אינו מנדב מידע שלא נשאל עליו.</x:v>
      </x:c>
      <x:c r="C13" s="156"/>
      <x:c r="D13" s="156"/>
      <x:c r="E13" s="156"/>
      <x:c r="F13" s="156"/>
      <x:c r="G13" s="156"/>
      <x:c r="H13" s="156"/>
    </x:row>
    <x:row r="14" ht="32" customHeight="1">
      <x:c r="A14" s="108" t="str">
        <x:v>טווחי ייחוס</x:v>
      </x:c>
      <x:c r="B14" s="110" t="str">
        <x:v>לכל בדיקת דם מספרית יש ערך, יחידה וטווח ייחוס.</x:v>
      </x:c>
      <x:c r="C14" s="156"/>
      <x:c r="D14" s="156"/>
      <x:c r="E14" s="156"/>
      <x:c r="F14" s="156"/>
      <x:c r="G14" s="156"/>
      <x:c r="H14" s="156"/>
    </x:row>
    <x:row r="15" ht="32" customHeight="1">
      <x:c r="A15" s="111" t="str">
        <x:v>בדיקה קלינית</x:v>
      </x:c>
      <x:c r="B15" s="113" t="str">
        <x:v>לאחר השלמה אוטומטית נדרשת בדיקת עקביות ידנית מול הסיפור והרובריקות.</x:v>
      </x:c>
      <x:c r="C15" s="156"/>
      <x:c r="D15" s="156"/>
      <x:c r="E15" s="156"/>
      <x:c r="F15" s="156"/>
      <x:c r="G15" s="156"/>
      <x:c r="H15" s="156"/>
    </x:row>
    <x:row r="16" ht="24" customHeight="1">
      <x:c r="A16" s="150" t="str">
        <x:v>שיוך מדד–בדיקה</x:v>
      </x:c>
      <x:c r="B16" s="151" t="n">
        <x:v>0</x:v>
      </x:c>
      <x:c r="C16" s="151" t="n">
        <x:f>COUNTIF('מדדים_מספריים'!$H$5:$H$36,0)</x:f>
        <x:v>0</x:v>
      </x:c>
      <x:c r="D16" s="152"/>
      <x:c r="E16" s="152"/>
      <x:c r="F16" s="152"/>
      <x:c r="G16" s="152"/>
      <x:c r="H16" s="154" t="str">
        <x:f>IF(C16=B16,"תקין","דורש בדיקה")</x:f>
        <x:v>תקין</x:v>
      </x:c>
    </x:row>
    <x:row r="17" ht="24" customHeight="1">
      <x:c r="A17" s="150" t="str">
        <x:v>כפילות מקור מספרי</x:v>
      </x:c>
      <x:c r="B17" s="151" t="n">
        <x:v>0</x:v>
      </x:c>
      <x:c r="C17" s="151" t="n">
        <x:f>COUNTA('בדיקות_מיידיות'!$E$5:$G$37)</x:f>
        <x:v>0</x:v>
      </x:c>
      <x:c r="D17" s="152"/>
      <x:c r="E17" s="152"/>
      <x:c r="F17" s="152"/>
      <x:c r="G17" s="152"/>
      <x:c r="H17" s="154" t="str">
        <x:f>IF(C17=B17,"תקין","דורש בדיקה")</x:f>
        <x:v>תקין</x:v>
      </x:c>
    </x:row>
    <x:row r="18" ht="24" customHeight="1">
      <x:c r="A18" s="150" t="str">
        <x:v>פרסונה קצרה</x:v>
      </x:c>
      <x:c r="B18" s="151" t="n">
        <x:v>1</x:v>
      </x:c>
      <x:c r="C18" s="151" t="n">
        <x:f>COUNTIF('מטא_מקרה'!$A$5:$A$30,"פרסונה קצרה")</x:f>
        <x:v>1</x:v>
      </x:c>
      <x:c r="D18" s="152"/>
      <x:c r="E18" s="152"/>
      <x:c r="F18" s="152"/>
      <x:c r="G18" s="152"/>
      <x:c r="H18" s="154" t="str">
        <x:f>IF(C18=B18,"תקין","דורש בדיקה")</x:f>
        <x:v>תקין</x:v>
      </x:c>
    </x:row>
  </x:sheetData>
  <x:mergeCells>
    <x:mergeCell ref="A1:E1"/>
    <x:mergeCell ref="A2:E2"/>
    <x:mergeCell ref="A1:H1"/>
    <x:mergeCell ref="A2:H2"/>
    <x:mergeCell ref="B11:H11"/>
    <x:mergeCell ref="B12:H12"/>
    <x:mergeCell ref="B13:H13"/>
    <x:mergeCell ref="B14:H14"/>
    <x:mergeCell ref="B15:H15"/>
  </x:mergeCells>
  <x:conditionalFormatting sqref="E5:E8">
    <x:cfRule type="containsText" dxfId="16" priority="1" operator="containsText" text="תקין"/>
    <x:cfRule type="containsText" dxfId="17" priority="2" operator="containsText" text="דורש בדיקה"/>
  </x:conditionalFormatting>
  <x:conditionalFormatting sqref="D11:D12">
    <x:cfRule type="containsText" dxfId="18" priority="3" operator="containsText" text="תקין"/>
  </x:conditionalFormatting>
  <x:conditionalFormatting sqref="H5:H9">
    <x:cfRule type="containsText" dxfId="19" priority="4" operator="containsText" text="תקין"/>
    <x:cfRule type="containsText" dxfId="20" priority="5" operator="containsText" text="דורש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3" hidden="0" customWidth="1"/>
    <x:col min="4" max="4" width="12" hidden="0" customWidth="1"/>
    <x:col min="5" max="5" width="18" hidden="0" customWidth="1"/>
    <x:col min="6" max="6" width="30" hidden="0" customWidth="1"/>
    <x:col min="7" max="7" width="24" hidden="0" customWidth="1"/>
    <x:col min="8" max="8" width="15" hidden="0" customWidth="1"/>
    <x:col min="9" max="9" width="12" hidden="0" customWidth="1"/>
  </x:cols>
  <x:sheetData>
    <x:row r="1" ht="30" customHeight="1">
      <x:c r="A1" s="74" t="str">
        <x:v>תוצאות מספריות — CASE-001</x:v>
      </x:c>
      <x:c r="B1" s="74"/>
      <x:c r="C1" s="74"/>
      <x:c r="D1" s="74"/>
      <x:c r="E1" s="74"/>
      <x:c r="F1" s="74"/>
      <x:c r="G1" s="74"/>
      <x:c r="H1" s="74"/>
      <x:c r="I1" s="74"/>
    </x:row>
    <x:row r="2" ht="34" customHeight="1">
      <x:c r="A2" s="79" t="str">
        <x:v>זהו מקור האמת היחיד לערכי מטופל מספריים, יחידות וטווחי ייחוס. כל שורת מדד מכילה ערך אחד.</x:v>
      </x:c>
      <x:c r="B2" s="79"/>
      <x:c r="C2" s="79"/>
      <x:c r="D2" s="79"/>
      <x:c r="E2" s="79"/>
      <x:c r="F2" s="79"/>
      <x:c r="G2" s="79"/>
      <x:c r="H2" s="79"/>
      <x:c r="I2" s="79"/>
    </x:row>
    <x:row r="4">
      <x:c r="A4" s="85" t="str">
        <x:v>מזהה מדד</x:v>
      </x:c>
      <x:c r="B4" s="85" t="str">
        <x:v>מזהה בדיקה</x:v>
      </x:c>
      <x:c r="C4" s="85" t="str">
        <x:v>שם המדד</x:v>
      </x:c>
      <x:c r="D4" s="85" t="str">
        <x:v>ערך</x:v>
      </x:c>
      <x:c r="E4" s="85" t="str">
        <x:v>יחידה</x:v>
      </x:c>
      <x:c r="F4" s="85" t="str">
        <x:v>טווח ייחוס</x:v>
      </x:c>
      <x:c r="G4" s="85" t="str">
        <x:v>פרשנות במקרה</x:v>
      </x:c>
      <x:c r="H4" s="85" t="str">
        <x:v>חובת הצגה</x:v>
      </x:c>
      <x:c r="I4" s="85" t="str">
        <x:v>סטטוס</x:v>
      </x:c>
    </x:row>
    <x:row r="5">
      <x:c r="A5" s="105" t="str">
        <x:v>IT-001-HGT</x:v>
      </x:c>
      <x:c r="B5" s="106" t="str">
        <x:v>IT-001</x:v>
      </x:c>
      <x:c r="C5" s="106" t="str">
        <x:v>גובה</x:v>
      </x:c>
      <x:c r="D5" s="114" t="n">
        <x:v>174</x:v>
      </x:c>
      <x:c r="E5" s="114" t="str">
        <x:v>cm</x:v>
      </x:c>
      <x:c r="F5" s="114" t="str">
        <x:v>אין טווח מעבדתי</x:v>
      </x:c>
      <x:c r="G5" s="114" t="str">
        <x:v>גובה המטופל</x:v>
      </x:c>
      <x:c r="H5" s="106" t="str">
        <x:v>לא</x:v>
      </x:c>
      <x:c r="I5" s="107" t="str">
        <x:v>מאושר</x:v>
      </x:c>
    </x:row>
    <x:row r="6">
      <x:c r="A6" s="108" t="str">
        <x:v>IT-002-WGT</x:v>
      </x:c>
      <x:c r="B6" s="109" t="str">
        <x:v>IT-002</x:v>
      </x:c>
      <x:c r="C6" s="109" t="str">
        <x:v>משקל</x:v>
      </x:c>
      <x:c r="D6" s="115" t="n">
        <x:v>88</x:v>
      </x:c>
      <x:c r="E6" s="115" t="str">
        <x:v>kg</x:v>
      </x:c>
      <x:c r="F6" s="115" t="str">
        <x:v>אין טווח מעבדתי</x:v>
      </x:c>
      <x:c r="G6" s="115" t="str">
        <x:v>משקל המטופל</x:v>
      </x:c>
      <x:c r="H6" s="109" t="str">
        <x:v>לא</x:v>
      </x:c>
      <x:c r="I6" s="110" t="str">
        <x:v>מאושר</x:v>
      </x:c>
    </x:row>
    <x:row r="7">
      <x:c r="A7" s="108" t="str">
        <x:v>IT-003-BMI</x:v>
      </x:c>
      <x:c r="B7" s="109" t="str">
        <x:v>IT-003</x:v>
      </x:c>
      <x:c r="C7" s="109" t="str">
        <x:v>BMI</x:v>
      </x:c>
      <x:c r="D7" s="115" t="n">
        <x:v>29.1</x:v>
      </x:c>
      <x:c r="E7" s="115" t="str">
        <x:v>kg/m²</x:v>
      </x:c>
      <x:c r="F7" s="115" t="str">
        <x:v>18.5–24.9</x:v>
      </x:c>
      <x:c r="G7" s="115" t="str">
        <x:v>עודף משקל</x:v>
      </x:c>
      <x:c r="H7" s="109" t="str">
        <x:v>כן</x:v>
      </x:c>
      <x:c r="I7" s="110" t="str">
        <x:v>מאושר</x:v>
      </x:c>
    </x:row>
    <x:row r="8">
      <x:c r="A8" s="108" t="str">
        <x:v>IT-004-SPO2</x:v>
      </x:c>
      <x:c r="B8" s="109" t="str">
        <x:v>IT-004</x:v>
      </x:c>
      <x:c r="C8" s="109" t="str">
        <x:v>סטורציה</x:v>
      </x:c>
      <x:c r="D8" s="115" t="n">
        <x:v>98</x:v>
      </x:c>
      <x:c r="E8" s="115" t="str">
        <x:v>%</x:v>
      </x:c>
      <x:c r="F8" s="115" t="str">
        <x:v>95–100</x:v>
      </x:c>
      <x:c r="G8" s="115" t="str">
        <x:v>תקין</x:v>
      </x:c>
      <x:c r="H8" s="109" t="str">
        <x:v>כן</x:v>
      </x:c>
      <x:c r="I8" s="110" t="str">
        <x:v>מאושר</x:v>
      </x:c>
    </x:row>
    <x:row r="9">
      <x:c r="A9" s="108" t="str">
        <x:v>IT-005-HR</x:v>
      </x:c>
      <x:c r="B9" s="109" t="str">
        <x:v>IT-005</x:v>
      </x:c>
      <x:c r="C9" s="109" t="str">
        <x:v>קצב לב באק״ג</x:v>
      </x:c>
      <x:c r="D9" s="115" t="n">
        <x:v>78</x:v>
      </x:c>
      <x:c r="E9" s="115" t="str">
        <x:v>פעימות/דקה</x:v>
      </x:c>
      <x:c r="F9" s="115" t="str">
        <x:v>60–100</x:v>
      </x:c>
      <x:c r="G9" s="115" t="str">
        <x:v>תקין</x:v>
      </x:c>
      <x:c r="H9" s="109" t="str">
        <x:v>כן</x:v>
      </x:c>
      <x:c r="I9" s="110" t="str">
        <x:v>מאושר</x:v>
      </x:c>
    </x:row>
    <x:row r="10">
      <x:c r="A10" s="108" t="str">
        <x:v>IT-013-HB</x:v>
      </x:c>
      <x:c r="B10" s="109" t="str">
        <x:v>IT-013</x:v>
      </x:c>
      <x:c r="C10" s="109" t="str">
        <x:v>המוגלובין</x:v>
      </x:c>
      <x:c r="D10" s="115" t="n">
        <x:v>14.8</x:v>
      </x:c>
      <x:c r="E10" s="115" t="str">
        <x:v>g/dL</x:v>
      </x:c>
      <x:c r="F10" s="115" t="str">
        <x:v>13.5–17.5</x:v>
      </x:c>
      <x:c r="G10" s="115" t="str">
        <x:v>תקין</x:v>
      </x:c>
      <x:c r="H10" s="109" t="str">
        <x:v>כן</x:v>
      </x:c>
      <x:c r="I10" s="110" t="str">
        <x:v>מאושר</x:v>
      </x:c>
    </x:row>
    <x:row r="11">
      <x:c r="A11" s="108" t="str">
        <x:v>IT-013-HCT</x:v>
      </x:c>
      <x:c r="B11" s="109" t="str">
        <x:v>IT-013</x:v>
      </x:c>
      <x:c r="C11" s="109" t="str">
        <x:v>המטוקריט</x:v>
      </x:c>
      <x:c r="D11" s="115" t="n">
        <x:v>44</x:v>
      </x:c>
      <x:c r="E11" s="115" t="str">
        <x:v>%</x:v>
      </x:c>
      <x:c r="F11" s="115" t="str">
        <x:v>41–53</x:v>
      </x:c>
      <x:c r="G11" s="115" t="str">
        <x:v>תקין</x:v>
      </x:c>
      <x:c r="H11" s="109" t="str">
        <x:v>כן</x:v>
      </x:c>
      <x:c r="I11" s="110" t="str">
        <x:v>מאושר</x:v>
      </x:c>
    </x:row>
    <x:row r="12">
      <x:c r="A12" s="108" t="str">
        <x:v>IT-014-WBC</x:v>
      </x:c>
      <x:c r="B12" s="109" t="str">
        <x:v>IT-014</x:v>
      </x:c>
      <x:c r="C12" s="109" t="str">
        <x:v>תאי דם לבנים</x:v>
      </x:c>
      <x:c r="D12" s="115" t="n">
        <x:v>7.2</x:v>
      </x:c>
      <x:c r="E12" s="115" t="str">
        <x:v>10³/µL</x:v>
      </x:c>
      <x:c r="F12" s="115" t="str">
        <x:v>4.0–11.0</x:v>
      </x:c>
      <x:c r="G12" s="115" t="str">
        <x:v>תקין</x:v>
      </x:c>
      <x:c r="H12" s="109" t="str">
        <x:v>כן</x:v>
      </x:c>
      <x:c r="I12" s="110" t="str">
        <x:v>מאושר</x:v>
      </x:c>
    </x:row>
    <x:row r="13">
      <x:c r="A13" s="108" t="str">
        <x:v>IT-015-PLT</x:v>
      </x:c>
      <x:c r="B13" s="109" t="str">
        <x:v>IT-015</x:v>
      </x:c>
      <x:c r="C13" s="109" t="str">
        <x:v>טסיות</x:v>
      </x:c>
      <x:c r="D13" s="115" t="n">
        <x:v>245</x:v>
      </x:c>
      <x:c r="E13" s="115" t="str">
        <x:v>10³/µL</x:v>
      </x:c>
      <x:c r="F13" s="115" t="str">
        <x:v>150–450</x:v>
      </x:c>
      <x:c r="G13" s="115" t="str">
        <x:v>תקין</x:v>
      </x:c>
      <x:c r="H13" s="109" t="str">
        <x:v>כן</x:v>
      </x:c>
      <x:c r="I13" s="110" t="str">
        <x:v>מאושר</x:v>
      </x:c>
    </x:row>
    <x:row r="14">
      <x:c r="A14" s="108" t="str">
        <x:v>IT-016-GLU</x:v>
      </x:c>
      <x:c r="B14" s="109" t="str">
        <x:v>IT-016</x:v>
      </x:c>
      <x:c r="C14" s="109" t="str">
        <x:v>גלוקוז בצום</x:v>
      </x:c>
      <x:c r="D14" s="115" t="n">
        <x:v>94</x:v>
      </x:c>
      <x:c r="E14" s="115" t="str">
        <x:v>mg/dL</x:v>
      </x:c>
      <x:c r="F14" s="115" t="str">
        <x:v>70–99</x:v>
      </x:c>
      <x:c r="G14" s="115" t="str">
        <x:v>תקין</x:v>
      </x:c>
      <x:c r="H14" s="109" t="str">
        <x:v>כן</x:v>
      </x:c>
      <x:c r="I14" s="110" t="str">
        <x:v>מאושר</x:v>
      </x:c>
    </x:row>
    <x:row r="15">
      <x:c r="A15" s="108" t="str">
        <x:v>IT-017-HBA1C</x:v>
      </x:c>
      <x:c r="B15" s="109" t="str">
        <x:v>IT-017</x:v>
      </x:c>
      <x:c r="C15" s="109" t="str">
        <x:v>HbA1c</x:v>
      </x:c>
      <x:c r="D15" s="115" t="n">
        <x:v>5.5</x:v>
      </x:c>
      <x:c r="E15" s="115" t="str">
        <x:v>%</x:v>
      </x:c>
      <x:c r="F15" s="115" t="str">
        <x:v>4.0–5.6</x:v>
      </x:c>
      <x:c r="G15" s="115" t="str">
        <x:v>תקין</x:v>
      </x:c>
      <x:c r="H15" s="109" t="str">
        <x:v>כן</x:v>
      </x:c>
      <x:c r="I15" s="110" t="str">
        <x:v>מאושר</x:v>
      </x:c>
    </x:row>
    <x:row r="16">
      <x:c r="A16" s="108" t="str">
        <x:v>IT-018-TC</x:v>
      </x:c>
      <x:c r="B16" s="109" t="str">
        <x:v>IT-018</x:v>
      </x:c>
      <x:c r="C16" s="109" t="str">
        <x:v>כולסטרול כללי</x:v>
      </x:c>
      <x:c r="D16" s="115" t="n">
        <x:v>248</x:v>
      </x:c>
      <x:c r="E16" s="115" t="str">
        <x:v>mg/dL</x:v>
      </x:c>
      <x:c r="F16" s="115" t="str">
        <x:v>רצוי מתחת ל-200</x:v>
      </x:c>
      <x:c r="G16" s="115" t="str">
        <x:v>גבוה</x:v>
      </x:c>
      <x:c r="H16" s="109" t="str">
        <x:v>כן</x:v>
      </x:c>
      <x:c r="I16" s="110" t="str">
        <x:v>מאושר</x:v>
      </x:c>
    </x:row>
    <x:row r="17">
      <x:c r="A17" s="108" t="str">
        <x:v>IT-019-LDL</x:v>
      </x:c>
      <x:c r="B17" s="109" t="str">
        <x:v>IT-019</x:v>
      </x:c>
      <x:c r="C17" s="109" t="str">
        <x:v>LDL</x:v>
      </x:c>
      <x:c r="D17" s="115" t="n">
        <x:v>168</x:v>
      </x:c>
      <x:c r="E17" s="115" t="str">
        <x:v>mg/dL</x:v>
      </x:c>
      <x:c r="F17" s="115" t="str">
        <x:v>רצוי מתחת ל-100; היעד תלוי סיכון</x:v>
      </x:c>
      <x:c r="G17" s="115" t="str">
        <x:v>גבוה</x:v>
      </x:c>
      <x:c r="H17" s="109" t="str">
        <x:v>כן</x:v>
      </x:c>
      <x:c r="I17" s="110" t="str">
        <x:v>מאושר</x:v>
      </x:c>
    </x:row>
    <x:row r="18">
      <x:c r="A18" s="108" t="str">
        <x:v>IT-020-HDL</x:v>
      </x:c>
      <x:c r="B18" s="109" t="str">
        <x:v>IT-020</x:v>
      </x:c>
      <x:c r="C18" s="109" t="str">
        <x:v>HDL</x:v>
      </x:c>
      <x:c r="D18" s="115" t="n">
        <x:v>38</x:v>
      </x:c>
      <x:c r="E18" s="115" t="str">
        <x:v>mg/dL</x:v>
      </x:c>
      <x:c r="F18" s="115" t="str">
        <x:v>40 ומעלה בגבר</x:v>
      </x:c>
      <x:c r="G18" s="115" t="str">
        <x:v>נמוך מעט</x:v>
      </x:c>
      <x:c r="H18" s="109" t="str">
        <x:v>כן</x:v>
      </x:c>
      <x:c r="I18" s="110" t="str">
        <x:v>מאושר</x:v>
      </x:c>
    </x:row>
    <x:row r="19">
      <x:c r="A19" s="108" t="str">
        <x:v>IT-021-TG</x:v>
      </x:c>
      <x:c r="B19" s="109" t="str">
        <x:v>IT-021</x:v>
      </x:c>
      <x:c r="C19" s="109" t="str">
        <x:v>טריגליצרידים</x:v>
      </x:c>
      <x:c r="D19" s="115" t="n">
        <x:v>210</x:v>
      </x:c>
      <x:c r="E19" s="115" t="str">
        <x:v>mg/dL</x:v>
      </x:c>
      <x:c r="F19" s="115" t="str">
        <x:v>מתחת ל-150</x:v>
      </x:c>
      <x:c r="G19" s="115" t="str">
        <x:v>גבוהים</x:v>
      </x:c>
      <x:c r="H19" s="109" t="str">
        <x:v>כן</x:v>
      </x:c>
      <x:c r="I19" s="110" t="str">
        <x:v>מאושר</x:v>
      </x:c>
    </x:row>
    <x:row r="20">
      <x:c r="A20" s="108" t="str">
        <x:v>IT-022-NA</x:v>
      </x:c>
      <x:c r="B20" s="109" t="str">
        <x:v>IT-022</x:v>
      </x:c>
      <x:c r="C20" s="109" t="str">
        <x:v>נתרן</x:v>
      </x:c>
      <x:c r="D20" s="115" t="n">
        <x:v>140</x:v>
      </x:c>
      <x:c r="E20" s="115" t="str">
        <x:v>mmol/L</x:v>
      </x:c>
      <x:c r="F20" s="115" t="str">
        <x:v>135–145</x:v>
      </x:c>
      <x:c r="G20" s="115" t="str">
        <x:v>תקין</x:v>
      </x:c>
      <x:c r="H20" s="109" t="str">
        <x:v>כן</x:v>
      </x:c>
      <x:c r="I20" s="110" t="str">
        <x:v>מאושר</x:v>
      </x:c>
    </x:row>
    <x:row r="21">
      <x:c r="A21" s="108" t="str">
        <x:v>IT-023-K</x:v>
      </x:c>
      <x:c r="B21" s="109" t="str">
        <x:v>IT-023</x:v>
      </x:c>
      <x:c r="C21" s="109" t="str">
        <x:v>אשלגן</x:v>
      </x:c>
      <x:c r="D21" s="115" t="n">
        <x:v>4.3</x:v>
      </x:c>
      <x:c r="E21" s="115" t="str">
        <x:v>mmol/L</x:v>
      </x:c>
      <x:c r="F21" s="115" t="str">
        <x:v>3.5–5.1</x:v>
      </x:c>
      <x:c r="G21" s="115" t="str">
        <x:v>תקין</x:v>
      </x:c>
      <x:c r="H21" s="109" t="str">
        <x:v>כן</x:v>
      </x:c>
      <x:c r="I21" s="110" t="str">
        <x:v>מאושר</x:v>
      </x:c>
    </x:row>
    <x:row r="22">
      <x:c r="A22" s="108" t="str">
        <x:v>IT-024-MG</x:v>
      </x:c>
      <x:c r="B22" s="109" t="str">
        <x:v>IT-024</x:v>
      </x:c>
      <x:c r="C22" s="109" t="str">
        <x:v>מגנזיום</x:v>
      </x:c>
      <x:c r="D22" s="115" t="n">
        <x:v>2</x:v>
      </x:c>
      <x:c r="E22" s="115" t="str">
        <x:v>mg/dL</x:v>
      </x:c>
      <x:c r="F22" s="115" t="str">
        <x:v>1.7–2.2</x:v>
      </x:c>
      <x:c r="G22" s="115" t="str">
        <x:v>תקין</x:v>
      </x:c>
      <x:c r="H22" s="109" t="str">
        <x:v>כן</x:v>
      </x:c>
      <x:c r="I22" s="110" t="str">
        <x:v>מאושר</x:v>
      </x:c>
    </x:row>
    <x:row r="23">
      <x:c r="A23" s="108" t="str">
        <x:v>IT-024-CA</x:v>
      </x:c>
      <x:c r="B23" s="109" t="str">
        <x:v>IT-024</x:v>
      </x:c>
      <x:c r="C23" s="109" t="str">
        <x:v>סידן</x:v>
      </x:c>
      <x:c r="D23" s="115" t="n">
        <x:v>9.4</x:v>
      </x:c>
      <x:c r="E23" s="115" t="str">
        <x:v>mg/dL</x:v>
      </x:c>
      <x:c r="F23" s="115" t="str">
        <x:v>8.6–10.2</x:v>
      </x:c>
      <x:c r="G23" s="115" t="str">
        <x:v>תקין</x:v>
      </x:c>
      <x:c r="H23" s="109" t="str">
        <x:v>כן</x:v>
      </x:c>
      <x:c r="I23" s="110" t="str">
        <x:v>מאושר</x:v>
      </x:c>
    </x:row>
    <x:row r="24">
      <x:c r="A24" s="108" t="str">
        <x:v>IT-025-TSH</x:v>
      </x:c>
      <x:c r="B24" s="109" t="str">
        <x:v>IT-025</x:v>
      </x:c>
      <x:c r="C24" s="109" t="str">
        <x:v>TSH</x:v>
      </x:c>
      <x:c r="D24" s="115" t="n">
        <x:v>2.1</x:v>
      </x:c>
      <x:c r="E24" s="115" t="str">
        <x:v>mIU/L</x:v>
      </x:c>
      <x:c r="F24" s="115" t="str">
        <x:v>0.4–4.0</x:v>
      </x:c>
      <x:c r="G24" s="115" t="str">
        <x:v>תקין</x:v>
      </x:c>
      <x:c r="H24" s="109" t="str">
        <x:v>כן</x:v>
      </x:c>
      <x:c r="I24" s="110" t="str">
        <x:v>מאושר</x:v>
      </x:c>
    </x:row>
    <x:row r="25">
      <x:c r="A25" s="108" t="str">
        <x:v>IT-025-FT4</x:v>
      </x:c>
      <x:c r="B25" s="109" t="str">
        <x:v>IT-025</x:v>
      </x:c>
      <x:c r="C25" s="109" t="str">
        <x:v>FT4</x:v>
      </x:c>
      <x:c r="D25" s="115" t="n">
        <x:v>1.2</x:v>
      </x:c>
      <x:c r="E25" s="115" t="str">
        <x:v>ng/dL</x:v>
      </x:c>
      <x:c r="F25" s="115" t="str">
        <x:v>0.8–1.8</x:v>
      </x:c>
      <x:c r="G25" s="115" t="str">
        <x:v>תקין</x:v>
      </x:c>
      <x:c r="H25" s="109" t="str">
        <x:v>כן</x:v>
      </x:c>
      <x:c r="I25" s="110" t="str">
        <x:v>מאושר</x:v>
      </x:c>
    </x:row>
    <x:row r="26">
      <x:c r="A26" s="108" t="str">
        <x:v>IT-026-AST</x:v>
      </x:c>
      <x:c r="B26" s="109" t="str">
        <x:v>IT-026</x:v>
      </x:c>
      <x:c r="C26" s="109" t="str">
        <x:v>AST</x:v>
      </x:c>
      <x:c r="D26" s="115" t="n">
        <x:v>24</x:v>
      </x:c>
      <x:c r="E26" s="115" t="str">
        <x:v>U/L</x:v>
      </x:c>
      <x:c r="F26" s="115" t="str">
        <x:v>10–40</x:v>
      </x:c>
      <x:c r="G26" s="115" t="str">
        <x:v>תקין</x:v>
      </x:c>
      <x:c r="H26" s="109" t="str">
        <x:v>כן</x:v>
      </x:c>
      <x:c r="I26" s="110" t="str">
        <x:v>מאושר</x:v>
      </x:c>
    </x:row>
    <x:row r="27">
      <x:c r="A27" s="108" t="str">
        <x:v>IT-026-ALT</x:v>
      </x:c>
      <x:c r="B27" s="109" t="str">
        <x:v>IT-026</x:v>
      </x:c>
      <x:c r="C27" s="109" t="str">
        <x:v>ALT</x:v>
      </x:c>
      <x:c r="D27" s="115" t="n">
        <x:v>28</x:v>
      </x:c>
      <x:c r="E27" s="115" t="str">
        <x:v>U/L</x:v>
      </x:c>
      <x:c r="F27" s="115" t="str">
        <x:v>7–56</x:v>
      </x:c>
      <x:c r="G27" s="115" t="str">
        <x:v>תקין</x:v>
      </x:c>
      <x:c r="H27" s="109" t="str">
        <x:v>כן</x:v>
      </x:c>
      <x:c r="I27" s="110" t="str">
        <x:v>מאושר</x:v>
      </x:c>
    </x:row>
    <x:row r="28">
      <x:c r="A28" s="108" t="str">
        <x:v>IT-026-ALB</x:v>
      </x:c>
      <x:c r="B28" s="109" t="str">
        <x:v>IT-026</x:v>
      </x:c>
      <x:c r="C28" s="109" t="str">
        <x:v>אלבומין</x:v>
      </x:c>
      <x:c r="D28" s="115" t="n">
        <x:v>4.3</x:v>
      </x:c>
      <x:c r="E28" s="115" t="str">
        <x:v>g/dL</x:v>
      </x:c>
      <x:c r="F28" s="115" t="str">
        <x:v>3.5–5.0</x:v>
      </x:c>
      <x:c r="G28" s="115" t="str">
        <x:v>תקין</x:v>
      </x:c>
      <x:c r="H28" s="109" t="str">
        <x:v>כן</x:v>
      </x:c>
      <x:c r="I28" s="110" t="str">
        <x:v>מאושר</x:v>
      </x:c>
    </x:row>
    <x:row r="29">
      <x:c r="A29" s="108" t="str">
        <x:v>IT-027-INR</x:v>
      </x:c>
      <x:c r="B29" s="109" t="str">
        <x:v>IT-027</x:v>
      </x:c>
      <x:c r="C29" s="109" t="str">
        <x:v>INR</x:v>
      </x:c>
      <x:c r="D29" s="115" t="n">
        <x:v>1</x:v>
      </x:c>
      <x:c r="E29" s="115" t="str">
        <x:v>יחס</x:v>
      </x:c>
      <x:c r="F29" s="115" t="str">
        <x:v>0.8–1.2 ללא טיפול נוגד קרישה</x:v>
      </x:c>
      <x:c r="G29" s="115" t="str">
        <x:v>תקין</x:v>
      </x:c>
      <x:c r="H29" s="109" t="str">
        <x:v>כן</x:v>
      </x:c>
      <x:c r="I29" s="110" t="str">
        <x:v>מאושר</x:v>
      </x:c>
    </x:row>
    <x:row r="30">
      <x:c r="A30" s="108" t="str">
        <x:v>IT-028-TNI</x:v>
      </x:c>
      <x:c r="B30" s="109" t="str">
        <x:v>IT-028</x:v>
      </x:c>
      <x:c r="C30" s="109" t="str">
        <x:v>hs-Troponin I</x:v>
      </x:c>
      <x:c r="D30" s="115" t="n">
        <x:v>6</x:v>
      </x:c>
      <x:c r="E30" s="115" t="str">
        <x:v>ng/L</x:v>
      </x:c>
      <x:c r="F30" s="115" t="str">
        <x:v>מתחת ל-19 במעבדה זו</x:v>
      </x:c>
      <x:c r="G30" s="115" t="str">
        <x:v>אינו מוגבר</x:v>
      </x:c>
      <x:c r="H30" s="109" t="str">
        <x:v>כן</x:v>
      </x:c>
      <x:c r="I30" s="110" t="str">
        <x:v>מאושר</x:v>
      </x:c>
    </x:row>
    <x:row r="31">
      <x:c r="A31" s="108" t="str">
        <x:v>IT-029-CPK</x:v>
      </x:c>
      <x:c r="B31" s="109" t="str">
        <x:v>IT-029</x:v>
      </x:c>
      <x:c r="C31" s="109" t="str">
        <x:v>CPK</x:v>
      </x:c>
      <x:c r="D31" s="115" t="n">
        <x:v>120</x:v>
      </x:c>
      <x:c r="E31" s="115" t="str">
        <x:v>U/L</x:v>
      </x:c>
      <x:c r="F31" s="115" t="str">
        <x:v>30–200</x:v>
      </x:c>
      <x:c r="G31" s="115" t="str">
        <x:v>תקין</x:v>
      </x:c>
      <x:c r="H31" s="109" t="str">
        <x:v>כן</x:v>
      </x:c>
      <x:c r="I31" s="110" t="str">
        <x:v>מאושר</x:v>
      </x:c>
    </x:row>
    <x:row r="32">
      <x:c r="A32" s="108" t="str">
        <x:v>IT-029-CKMB</x:v>
      </x:c>
      <x:c r="B32" s="109" t="str">
        <x:v>IT-029</x:v>
      </x:c>
      <x:c r="C32" s="109" t="str">
        <x:v>CK-MB</x:v>
      </x:c>
      <x:c r="D32" s="115" t="n">
        <x:v>2.1</x:v>
      </x:c>
      <x:c r="E32" s="115" t="str">
        <x:v>ng/mL</x:v>
      </x:c>
      <x:c r="F32" s="115" t="str">
        <x:v>מתחת ל-5</x:v>
      </x:c>
      <x:c r="G32" s="115" t="str">
        <x:v>תקין</x:v>
      </x:c>
      <x:c r="H32" s="109" t="str">
        <x:v>כן</x:v>
      </x:c>
      <x:c r="I32" s="110" t="str">
        <x:v>מאושר</x:v>
      </x:c>
    </x:row>
    <x:row r="33">
      <x:c r="A33" s="108" t="str">
        <x:v>IT-030-UREA</x:v>
      </x:c>
      <x:c r="B33" s="109" t="str">
        <x:v>IT-030</x:v>
      </x:c>
      <x:c r="C33" s="109" t="str">
        <x:v>אוריאה</x:v>
      </x:c>
      <x:c r="D33" s="115" t="n">
        <x:v>32</x:v>
      </x:c>
      <x:c r="E33" s="115" t="str">
        <x:v>mg/dL</x:v>
      </x:c>
      <x:c r="F33" s="115" t="str">
        <x:v>15–45</x:v>
      </x:c>
      <x:c r="G33" s="115" t="str">
        <x:v>תקין</x:v>
      </x:c>
      <x:c r="H33" s="109" t="str">
        <x:v>כן</x:v>
      </x:c>
      <x:c r="I33" s="110" t="str">
        <x:v>מאושר</x:v>
      </x:c>
    </x:row>
    <x:row r="34">
      <x:c r="A34" s="108" t="str">
        <x:v>IT-031-CREA</x:v>
      </x:c>
      <x:c r="B34" s="109" t="str">
        <x:v>IT-031</x:v>
      </x:c>
      <x:c r="C34" s="109" t="str">
        <x:v>קריאטינין</x:v>
      </x:c>
      <x:c r="D34" s="115" t="n">
        <x:v>0.9</x:v>
      </x:c>
      <x:c r="E34" s="115" t="str">
        <x:v>mg/dL</x:v>
      </x:c>
      <x:c r="F34" s="115" t="str">
        <x:v>0.7–1.3</x:v>
      </x:c>
      <x:c r="G34" s="115" t="str">
        <x:v>תקין</x:v>
      </x:c>
      <x:c r="H34" s="109" t="str">
        <x:v>כן</x:v>
      </x:c>
      <x:c r="I34" s="110" t="str">
        <x:v>מאושר</x:v>
      </x:c>
    </x:row>
    <x:row r="35">
      <x:c r="A35" s="108" t="str">
        <x:v>IT-031-EGFR</x:v>
      </x:c>
      <x:c r="B35" s="109" t="str">
        <x:v>IT-031</x:v>
      </x:c>
      <x:c r="C35" s="109" t="str">
        <x:v>eGFR</x:v>
      </x:c>
      <x:c r="D35" s="115" t="n">
        <x:v>94</x:v>
      </x:c>
      <x:c r="E35" s="115" t="str">
        <x:v>mL/min/1.73m²</x:v>
      </x:c>
      <x:c r="F35" s="115" t="str">
        <x:v>60 ומעלה</x:v>
      </x:c>
      <x:c r="G35" s="115" t="str">
        <x:v>תקין</x:v>
      </x:c>
      <x:c r="H35" s="109" t="str">
        <x:v>כן</x:v>
      </x:c>
      <x:c r="I35" s="110" t="str">
        <x:v>מאושר</x:v>
      </x:c>
    </x:row>
    <x:row r="36">
      <x:c r="A36" s="111" t="str">
        <x:v>IT-032-BNP</x:v>
      </x:c>
      <x:c r="B36" s="112" t="str">
        <x:v>IT-032</x:v>
      </x:c>
      <x:c r="C36" s="112" t="str">
        <x:v>BNP</x:v>
      </x:c>
      <x:c r="D36" s="116" t="n">
        <x:v>32</x:v>
      </x:c>
      <x:c r="E36" s="116" t="str">
        <x:v>pg/mL</x:v>
      </x:c>
      <x:c r="F36" s="116" t="str">
        <x:v>מתחת ל-100</x:v>
      </x:c>
      <x:c r="G36" s="116" t="str">
        <x:v>אינו מוגבר</x:v>
      </x:c>
      <x:c r="H36" s="112" t="str">
        <x:v>כן</x:v>
      </x:c>
      <x:c r="I36" s="113" t="str">
        <x:v>מאושר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15" hidden="0" customWidth="1"/>
  </x:cols>
  <x:sheetData>
    <x:row r="1" ht="30" customHeight="1">
      <x:c r="A1" s="74" t="str">
        <x:v>מדדים מספריים ותוצאות מרובות</x:v>
      </x:c>
      <x:c r="B1" s="74"/>
      <x:c r="C1" s="74"/>
      <x:c r="D1" s="74"/>
      <x:c r="E1" s="74"/>
      <x:c r="F1" s="74"/>
      <x:c r="G1" s="74"/>
    </x:row>
    <x:row r="2" ht="34" customHeight="1">
      <x:c r="A2" s="79" t="str">
        <x:v>הגדרות מדדים בלבד. הערכים עצמם נשמרים בתוצאות_מספריות; עמודות הבקרה מוודאות מופע יחיד ושיוך נכון לבדיקה.</x:v>
      </x:c>
      <x:c r="B2" s="79"/>
      <x:c r="C2" s="79"/>
      <x:c r="D2" s="79"/>
      <x:c r="E2" s="79"/>
      <x:c r="F2" s="79"/>
      <x:c r="G2" s="79"/>
    </x:row>
    <x:row r="4">
      <x:c r="A4" s="85" t="str">
        <x:v>מזהה מדד</x:v>
      </x:c>
      <x:c r="B4" s="85" t="str">
        <x:v>מזהה בדיקה</x:v>
      </x:c>
      <x:c r="C4" s="85" t="str">
        <x:v>שם המדד</x:v>
      </x:c>
      <x:c r="D4" s="85" t="str">
        <x:v>יחידה מקובלת</x:v>
      </x:c>
      <x:c r="E4" s="85" t="str">
        <x:v>חובת טווח בתיק</x:v>
      </x:c>
      <x:c r="F4" s="85" t="str">
        <x:v>כלל הצגה</x:v>
      </x:c>
      <x:c r="G4" s="85" t="str">
        <x:v>מופעים בתיק</x:v>
      </x:c>
      <x:c r="H4" s="149" t="str">
        <x:v>שיוך תקין</x:v>
      </x:c>
    </x:row>
    <x:row r="5">
      <x:c r="A5" s="105" t="str">
        <x:v>IT-001-HGT</x:v>
      </x:c>
      <x:c r="B5" s="106" t="str">
        <x:v>IT-001</x:v>
      </x:c>
      <x:c r="C5" s="106" t="str">
        <x:v>גובה</x:v>
      </x:c>
      <x:c r="D5" s="106" t="str">
        <x:v>cm</x:v>
      </x:c>
      <x:c r="E5" s="106" t="str">
        <x:v>לא</x:v>
      </x:c>
      <x:c r="F5" s="107" t="str">
        <x:v>מדידה; אין טווח מעבדתי</x:v>
      </x:c>
      <x:c r="G5" s="123" t="n">
        <x:f>COUNTIF('תוצאות_מספריות'!$A$5:$A$36,A5)</x:f>
        <x:v>1</x:v>
      </x:c>
      <x:c r="H5" s="140" t="n">
        <x:f>IF(LEFT(A5,6)=B5,1,0)</x:f>
        <x:v>1</x:v>
      </x:c>
    </x:row>
    <x:row r="6">
      <x:c r="A6" s="108" t="str">
        <x:v>IT-002-WGT</x:v>
      </x:c>
      <x:c r="B6" s="109" t="str">
        <x:v>IT-002</x:v>
      </x:c>
      <x:c r="C6" s="109" t="str">
        <x:v>משקל</x:v>
      </x:c>
      <x:c r="D6" s="109" t="str">
        <x:v>kg</x:v>
      </x:c>
      <x:c r="E6" s="109" t="str">
        <x:v>לא</x:v>
      </x:c>
      <x:c r="F6" s="110" t="str">
        <x:v>מדידה; אין טווח מעבדתי</x:v>
      </x:c>
      <x:c r="G6" s="124" t="n">
        <x:f>COUNTIF('תוצאות_מספריות'!$A$5:$A$36,A6)</x:f>
        <x:v>1</x:v>
      </x:c>
      <x:c r="H6" s="140" t="n">
        <x:f>IF(LEFT(A6,6)=B6,1,0)</x:f>
        <x:v>1</x:v>
      </x:c>
    </x:row>
    <x:row r="7">
      <x:c r="A7" s="108" t="str">
        <x:v>IT-003-BMI</x:v>
      </x:c>
      <x:c r="B7" s="109" t="str">
        <x:v>IT-003</x:v>
      </x:c>
      <x:c r="C7" s="109" t="str">
        <x:v>BMI</x:v>
      </x:c>
      <x:c r="D7" s="109" t="str">
        <x:v>kg/m²</x:v>
      </x:c>
      <x:c r="E7" s="109" t="str">
        <x:v>לא</x:v>
      </x:c>
      <x:c r="F7" s="110" t="str">
        <x:v>פרשנות לפי טווחי BMI</x:v>
      </x:c>
      <x:c r="G7" s="124" t="n">
        <x:f>COUNTIF('תוצאות_מספריות'!$A$5:$A$36,A7)</x:f>
        <x:v>1</x:v>
      </x:c>
      <x:c r="H7" s="140" t="n">
        <x:f>IF(LEFT(A7,6)=B7,1,0)</x:f>
        <x:v>1</x:v>
      </x:c>
    </x:row>
    <x:row r="8">
      <x:c r="A8" s="108" t="str">
        <x:v>IT-004-SPO2</x:v>
      </x:c>
      <x:c r="B8" s="109" t="str">
        <x:v>IT-004</x:v>
      </x:c>
      <x:c r="C8" s="109" t="str">
        <x:v>סטורציה</x:v>
      </x:c>
      <x:c r="D8" s="109" t="str">
        <x:v>%</x:v>
      </x:c>
      <x:c r="E8" s="109" t="str">
        <x:v>כן</x:v>
      </x:c>
      <x:c r="F8" s="110" t="str">
        <x:v>להציג טווח תקין לצד התוצאה</x:v>
      </x:c>
      <x:c r="G8" s="124" t="n">
        <x:f>COUNTIF('תוצאות_מספריות'!$A$5:$A$36,A8)</x:f>
        <x:v>1</x:v>
      </x:c>
      <x:c r="H8" s="140" t="n">
        <x:f>IF(LEFT(A8,6)=B8,1,0)</x:f>
        <x:v>1</x:v>
      </x:c>
    </x:row>
    <x:row r="9">
      <x:c r="A9" s="108" t="str">
        <x:v>IT-005-HR</x:v>
      </x:c>
      <x:c r="B9" s="109" t="str">
        <x:v>IT-005</x:v>
      </x:c>
      <x:c r="C9" s="109" t="str">
        <x:v>קצב לב באק״ג</x:v>
      </x:c>
      <x:c r="D9" s="109" t="str">
        <x:v>פעימות/דקה</x:v>
      </x:c>
      <x:c r="E9" s="109" t="str">
        <x:v>כן</x:v>
      </x:c>
      <x:c r="F9" s="110" t="str">
        <x:v>להציג טווח תקין לצד התוצאה</x:v>
      </x:c>
      <x:c r="G9" s="124" t="n">
        <x:f>COUNTIF('תוצאות_מספריות'!$A$5:$A$36,A9)</x:f>
        <x:v>1</x:v>
      </x:c>
      <x:c r="H9" s="140" t="n">
        <x:f>IF(LEFT(A9,6)=B9,1,0)</x:f>
        <x:v>1</x:v>
      </x:c>
    </x:row>
    <x:row r="10">
      <x:c r="A10" s="108" t="str">
        <x:v>IT-013-HB</x:v>
      </x:c>
      <x:c r="B10" s="109" t="str">
        <x:v>IT-013</x:v>
      </x:c>
      <x:c r="C10" s="109" t="str">
        <x:v>המוגלובין</x:v>
      </x:c>
      <x:c r="D10" s="109" t="str">
        <x:v>g/dL</x:v>
      </x:c>
      <x:c r="E10" s="109" t="str">
        <x:v>כן</x:v>
      </x:c>
      <x:c r="F10" s="110" t="str">
        <x:v>טווח ייחוס תלוי מעבדה ומין</x:v>
      </x:c>
      <x:c r="G10" s="124" t="n">
        <x:f>COUNTIF('תוצאות_מספריות'!$A$5:$A$36,A10)</x:f>
        <x:v>1</x:v>
      </x:c>
      <x:c r="H10" s="140" t="n">
        <x:f>IF(LEFT(A10,6)=B10,1,0)</x:f>
        <x:v>1</x:v>
      </x:c>
    </x:row>
    <x:row r="11">
      <x:c r="A11" s="108" t="str">
        <x:v>IT-013-HCT</x:v>
      </x:c>
      <x:c r="B11" s="109" t="str">
        <x:v>IT-013</x:v>
      </x:c>
      <x:c r="C11" s="109" t="str">
        <x:v>המטוקריט</x:v>
      </x:c>
      <x:c r="D11" s="109" t="str">
        <x:v>%</x:v>
      </x:c>
      <x:c r="E11" s="109" t="str">
        <x:v>כן</x:v>
      </x:c>
      <x:c r="F11" s="110" t="str">
        <x:v>טווח ייחוס תלוי מעבדה ומין</x:v>
      </x:c>
      <x:c r="G11" s="124" t="n">
        <x:f>COUNTIF('תוצאות_מספריות'!$A$5:$A$36,A11)</x:f>
        <x:v>1</x:v>
      </x:c>
      <x:c r="H11" s="140" t="n">
        <x:f>IF(LEFT(A11,6)=B11,1,0)</x:f>
        <x:v>1</x:v>
      </x:c>
    </x:row>
    <x:row r="12">
      <x:c r="A12" s="108" t="str">
        <x:v>IT-014-WBC</x:v>
      </x:c>
      <x:c r="B12" s="109" t="str">
        <x:v>IT-014</x:v>
      </x:c>
      <x:c r="C12" s="109" t="str">
        <x:v>תאי דם לבנים</x:v>
      </x:c>
      <x:c r="D12" s="109" t="str">
        <x:v>10³/µL</x:v>
      </x:c>
      <x:c r="E12" s="109" t="str">
        <x:v>כן</x:v>
      </x:c>
      <x:c r="F12" s="110" t="str">
        <x:v>טווח ייחוס של המעבדה</x:v>
      </x:c>
      <x:c r="G12" s="124" t="n">
        <x:f>COUNTIF('תוצאות_מספריות'!$A$5:$A$36,A12)</x:f>
        <x:v>1</x:v>
      </x:c>
      <x:c r="H12" s="140" t="n">
        <x:f>IF(LEFT(A12,6)=B12,1,0)</x:f>
        <x:v>1</x:v>
      </x:c>
    </x:row>
    <x:row r="13">
      <x:c r="A13" s="108" t="str">
        <x:v>IT-015-PLT</x:v>
      </x:c>
      <x:c r="B13" s="109" t="str">
        <x:v>IT-015</x:v>
      </x:c>
      <x:c r="C13" s="109" t="str">
        <x:v>טסיות</x:v>
      </x:c>
      <x:c r="D13" s="109" t="str">
        <x:v>10³/µL</x:v>
      </x:c>
      <x:c r="E13" s="109" t="str">
        <x:v>כן</x:v>
      </x:c>
      <x:c r="F13" s="110" t="str">
        <x:v>טווח ייחוס של המעבדה</x:v>
      </x:c>
      <x:c r="G13" s="124" t="n">
        <x:f>COUNTIF('תוצאות_מספריות'!$A$5:$A$36,A13)</x:f>
        <x:v>1</x:v>
      </x:c>
      <x:c r="H13" s="140" t="n">
        <x:f>IF(LEFT(A13,6)=B13,1,0)</x:f>
        <x:v>1</x:v>
      </x:c>
    </x:row>
    <x:row r="14">
      <x:c r="A14" s="108" t="str">
        <x:v>IT-016-GLU</x:v>
      </x:c>
      <x:c r="B14" s="109" t="str">
        <x:v>IT-016</x:v>
      </x:c>
      <x:c r="C14" s="109" t="str">
        <x:v>גלוקוז</x:v>
      </x:c>
      <x:c r="D14" s="109" t="str">
        <x:v>mg/dL</x:v>
      </x:c>
      <x:c r="E14" s="109" t="str">
        <x:v>כן</x:v>
      </x:c>
      <x:c r="F14" s="110" t="str">
        <x:v>לציין אם בצום</x:v>
      </x:c>
      <x:c r="G14" s="124" t="n">
        <x:f>COUNTIF('תוצאות_מספריות'!$A$5:$A$36,A14)</x:f>
        <x:v>1</x:v>
      </x:c>
      <x:c r="H14" s="140" t="n">
        <x:f>IF(LEFT(A14,6)=B14,1,0)</x:f>
        <x:v>1</x:v>
      </x:c>
    </x:row>
    <x:row r="15">
      <x:c r="A15" s="108" t="str">
        <x:v>IT-017-HBA1C</x:v>
      </x:c>
      <x:c r="B15" s="109" t="str">
        <x:v>IT-017</x:v>
      </x:c>
      <x:c r="C15" s="109" t="str">
        <x:v>HbA1c</x:v>
      </x:c>
      <x:c r="D15" s="109" t="str">
        <x:v>%</x:v>
      </x:c>
      <x:c r="E15" s="109" t="str">
        <x:v>כן</x:v>
      </x:c>
      <x:c r="F15" s="110" t="str">
        <x:v>טווח ייחוס של המעבדה</x:v>
      </x:c>
      <x:c r="G15" s="124" t="n">
        <x:f>COUNTIF('תוצאות_מספריות'!$A$5:$A$36,A15)</x:f>
        <x:v>1</x:v>
      </x:c>
      <x:c r="H15" s="140" t="n">
        <x:f>IF(LEFT(A15,6)=B15,1,0)</x:f>
        <x:v>1</x:v>
      </x:c>
    </x:row>
    <x:row r="16">
      <x:c r="A16" s="108" t="str">
        <x:v>IT-018-TC</x:v>
      </x:c>
      <x:c r="B16" s="109" t="str">
        <x:v>IT-018</x:v>
      </x:c>
      <x:c r="C16" s="109" t="str">
        <x:v>כולסטרול כללי</x:v>
      </x:c>
      <x:c r="D16" s="109" t="str">
        <x:v>mg/dL</x:v>
      </x:c>
      <x:c r="E16" s="109" t="str">
        <x:v>כן</x:v>
      </x:c>
      <x:c r="F16" s="110" t="str">
        <x:v>להציג יעד/טווח מעבדה</x:v>
      </x:c>
      <x:c r="G16" s="124" t="n">
        <x:f>COUNTIF('תוצאות_מספריות'!$A$5:$A$36,A16)</x:f>
        <x:v>1</x:v>
      </x:c>
      <x:c r="H16" s="140" t="n">
        <x:f>IF(LEFT(A16,6)=B16,1,0)</x:f>
        <x:v>1</x:v>
      </x:c>
    </x:row>
    <x:row r="17">
      <x:c r="A17" s="108" t="str">
        <x:v>IT-019-LDL</x:v>
      </x:c>
      <x:c r="B17" s="109" t="str">
        <x:v>IT-019</x:v>
      </x:c>
      <x:c r="C17" s="109" t="str">
        <x:v>LDL</x:v>
      </x:c>
      <x:c r="D17" s="109" t="str">
        <x:v>mg/dL</x:v>
      </x:c>
      <x:c r="E17" s="109" t="str">
        <x:v>כן</x:v>
      </x:c>
      <x:c r="F17" s="110" t="str">
        <x:v>היעד תלוי סיכון; להציג טווח המעבדה</x:v>
      </x:c>
      <x:c r="G17" s="124" t="n">
        <x:f>COUNTIF('תוצאות_מספריות'!$A$5:$A$36,A17)</x:f>
        <x:v>1</x:v>
      </x:c>
      <x:c r="H17" s="140" t="n">
        <x:f>IF(LEFT(A17,6)=B17,1,0)</x:f>
        <x:v>1</x:v>
      </x:c>
    </x:row>
    <x:row r="18">
      <x:c r="A18" s="108" t="str">
        <x:v>IT-020-HDL</x:v>
      </x:c>
      <x:c r="B18" s="109" t="str">
        <x:v>IT-020</x:v>
      </x:c>
      <x:c r="C18" s="109" t="str">
        <x:v>HDL</x:v>
      </x:c>
      <x:c r="D18" s="109" t="str">
        <x:v>mg/dL</x:v>
      </x:c>
      <x:c r="E18" s="109" t="str">
        <x:v>כן</x:v>
      </x:c>
      <x:c r="F18" s="110" t="str">
        <x:v>להציג טווח המעבדה</x:v>
      </x:c>
      <x:c r="G18" s="124" t="n">
        <x:f>COUNTIF('תוצאות_מספריות'!$A$5:$A$36,A18)</x:f>
        <x:v>1</x:v>
      </x:c>
      <x:c r="H18" s="140" t="n">
        <x:f>IF(LEFT(A18,6)=B18,1,0)</x:f>
        <x:v>1</x:v>
      </x:c>
    </x:row>
    <x:row r="19">
      <x:c r="A19" s="108" t="str">
        <x:v>IT-021-TG</x:v>
      </x:c>
      <x:c r="B19" s="109" t="str">
        <x:v>IT-021</x:v>
      </x:c>
      <x:c r="C19" s="109" t="str">
        <x:v>טריגליצרידים</x:v>
      </x:c>
      <x:c r="D19" s="109" t="str">
        <x:v>mg/dL</x:v>
      </x:c>
      <x:c r="E19" s="109" t="str">
        <x:v>כן</x:v>
      </x:c>
      <x:c r="F19" s="110" t="str">
        <x:v>להציג טווח המעבדה</x:v>
      </x:c>
      <x:c r="G19" s="124" t="n">
        <x:f>COUNTIF('תוצאות_מספריות'!$A$5:$A$36,A19)</x:f>
        <x:v>1</x:v>
      </x:c>
      <x:c r="H19" s="140" t="n">
        <x:f>IF(LEFT(A19,6)=B19,1,0)</x:f>
        <x:v>1</x:v>
      </x:c>
    </x:row>
    <x:row r="20">
      <x:c r="A20" s="108" t="str">
        <x:v>IT-022-NA</x:v>
      </x:c>
      <x:c r="B20" s="109" t="str">
        <x:v>IT-022</x:v>
      </x:c>
      <x:c r="C20" s="109" t="str">
        <x:v>נתרן</x:v>
      </x:c>
      <x:c r="D20" s="109" t="str">
        <x:v>mmol/L</x:v>
      </x:c>
      <x:c r="E20" s="109" t="str">
        <x:v>כן</x:v>
      </x:c>
      <x:c r="F20" s="110" t="str">
        <x:v>טווח ייחוס של המעבדה</x:v>
      </x:c>
      <x:c r="G20" s="124" t="n">
        <x:f>COUNTIF('תוצאות_מספריות'!$A$5:$A$36,A20)</x:f>
        <x:v>1</x:v>
      </x:c>
      <x:c r="H20" s="140" t="n">
        <x:f>IF(LEFT(A20,6)=B20,1,0)</x:f>
        <x:v>1</x:v>
      </x:c>
    </x:row>
    <x:row r="21">
      <x:c r="A21" s="108" t="str">
        <x:v>IT-023-K</x:v>
      </x:c>
      <x:c r="B21" s="109" t="str">
        <x:v>IT-023</x:v>
      </x:c>
      <x:c r="C21" s="109" t="str">
        <x:v>אשלגן</x:v>
      </x:c>
      <x:c r="D21" s="109" t="str">
        <x:v>mmol/L</x:v>
      </x:c>
      <x:c r="E21" s="109" t="str">
        <x:v>כן</x:v>
      </x:c>
      <x:c r="F21" s="110" t="str">
        <x:v>טווח ייחוס של המעבדה</x:v>
      </x:c>
      <x:c r="G21" s="124" t="n">
        <x:f>COUNTIF('תוצאות_מספריות'!$A$5:$A$36,A21)</x:f>
        <x:v>1</x:v>
      </x:c>
      <x:c r="H21" s="140" t="n">
        <x:f>IF(LEFT(A21,6)=B21,1,0)</x:f>
        <x:v>1</x:v>
      </x:c>
    </x:row>
    <x:row r="22">
      <x:c r="A22" s="108" t="str">
        <x:v>IT-024-MG</x:v>
      </x:c>
      <x:c r="B22" s="109" t="str">
        <x:v>IT-024</x:v>
      </x:c>
      <x:c r="C22" s="109" t="str">
        <x:v>מגנזיום</x:v>
      </x:c>
      <x:c r="D22" s="109" t="str">
        <x:v>mg/dL</x:v>
      </x:c>
      <x:c r="E22" s="109" t="str">
        <x:v>כן</x:v>
      </x:c>
      <x:c r="F22" s="110" t="str">
        <x:v>טווח ייחוס של המעבדה</x:v>
      </x:c>
      <x:c r="G22" s="124" t="n">
        <x:f>COUNTIF('תוצאות_מספריות'!$A$5:$A$36,A22)</x:f>
        <x:v>1</x:v>
      </x:c>
      <x:c r="H22" s="140" t="n">
        <x:f>IF(LEFT(A22,6)=B22,1,0)</x:f>
        <x:v>1</x:v>
      </x:c>
    </x:row>
    <x:row r="23">
      <x:c r="A23" s="108" t="str">
        <x:v>IT-024-CA</x:v>
      </x:c>
      <x:c r="B23" s="109" t="str">
        <x:v>IT-024</x:v>
      </x:c>
      <x:c r="C23" s="109" t="str">
        <x:v>סידן</x:v>
      </x:c>
      <x:c r="D23" s="109" t="str">
        <x:v>mg/dL</x:v>
      </x:c>
      <x:c r="E23" s="109" t="str">
        <x:v>כן</x:v>
      </x:c>
      <x:c r="F23" s="110" t="str">
        <x:v>טווח ייחוס של המעבדה</x:v>
      </x:c>
      <x:c r="G23" s="124" t="n">
        <x:f>COUNTIF('תוצאות_מספריות'!$A$5:$A$36,A23)</x:f>
        <x:v>1</x:v>
      </x:c>
      <x:c r="H23" s="140" t="n">
        <x:f>IF(LEFT(A23,6)=B23,1,0)</x:f>
        <x:v>1</x:v>
      </x:c>
    </x:row>
    <x:row r="24">
      <x:c r="A24" s="108" t="str">
        <x:v>IT-025-TSH</x:v>
      </x:c>
      <x:c r="B24" s="109" t="str">
        <x:v>IT-025</x:v>
      </x:c>
      <x:c r="C24" s="109" t="str">
        <x:v>TSH</x:v>
      </x:c>
      <x:c r="D24" s="109" t="str">
        <x:v>mIU/L</x:v>
      </x:c>
      <x:c r="E24" s="109" t="str">
        <x:v>כן</x:v>
      </x:c>
      <x:c r="F24" s="110" t="str">
        <x:v>טווח ייחוס של המעבדה</x:v>
      </x:c>
      <x:c r="G24" s="124" t="n">
        <x:f>COUNTIF('תוצאות_מספריות'!$A$5:$A$36,A24)</x:f>
        <x:v>1</x:v>
      </x:c>
      <x:c r="H24" s="140" t="n">
        <x:f>IF(LEFT(A24,6)=B24,1,0)</x:f>
        <x:v>1</x:v>
      </x:c>
    </x:row>
    <x:row r="25">
      <x:c r="A25" s="108" t="str">
        <x:v>IT-025-FT4</x:v>
      </x:c>
      <x:c r="B25" s="109" t="str">
        <x:v>IT-025</x:v>
      </x:c>
      <x:c r="C25" s="109" t="str">
        <x:v>FT4</x:v>
      </x:c>
      <x:c r="D25" s="109" t="str">
        <x:v>ng/dL</x:v>
      </x:c>
      <x:c r="E25" s="109" t="str">
        <x:v>כן</x:v>
      </x:c>
      <x:c r="F25" s="110" t="str">
        <x:v>טווח ייחוס של המעבדה</x:v>
      </x:c>
      <x:c r="G25" s="124" t="n">
        <x:f>COUNTIF('תוצאות_מספריות'!$A$5:$A$36,A25)</x:f>
        <x:v>1</x:v>
      </x:c>
      <x:c r="H25" s="140" t="n">
        <x:f>IF(LEFT(A25,6)=B25,1,0)</x:f>
        <x:v>1</x:v>
      </x:c>
    </x:row>
    <x:row r="26">
      <x:c r="A26" s="108" t="str">
        <x:v>IT-026-AST</x:v>
      </x:c>
      <x:c r="B26" s="109" t="str">
        <x:v>IT-026</x:v>
      </x:c>
      <x:c r="C26" s="109" t="str">
        <x:v>AST</x:v>
      </x:c>
      <x:c r="D26" s="109" t="str">
        <x:v>U/L</x:v>
      </x:c>
      <x:c r="E26" s="109" t="str">
        <x:v>כן</x:v>
      </x:c>
      <x:c r="F26" s="110" t="str">
        <x:v>טווח ייחוס של המעבדה</x:v>
      </x:c>
      <x:c r="G26" s="124" t="n">
        <x:f>COUNTIF('תוצאות_מספריות'!$A$5:$A$36,A26)</x:f>
        <x:v>1</x:v>
      </x:c>
      <x:c r="H26" s="140" t="n">
        <x:f>IF(LEFT(A26,6)=B26,1,0)</x:f>
        <x:v>1</x:v>
      </x:c>
    </x:row>
    <x:row r="27">
      <x:c r="A27" s="108" t="str">
        <x:v>IT-026-ALT</x:v>
      </x:c>
      <x:c r="B27" s="109" t="str">
        <x:v>IT-026</x:v>
      </x:c>
      <x:c r="C27" s="109" t="str">
        <x:v>ALT</x:v>
      </x:c>
      <x:c r="D27" s="109" t="str">
        <x:v>U/L</x:v>
      </x:c>
      <x:c r="E27" s="109" t="str">
        <x:v>כן</x:v>
      </x:c>
      <x:c r="F27" s="110" t="str">
        <x:v>טווח ייחוס של המעבדה</x:v>
      </x:c>
      <x:c r="G27" s="124" t="n">
        <x:f>COUNTIF('תוצאות_מספריות'!$A$5:$A$36,A27)</x:f>
        <x:v>1</x:v>
      </x:c>
      <x:c r="H27" s="140" t="n">
        <x:f>IF(LEFT(A27,6)=B27,1,0)</x:f>
        <x:v>1</x:v>
      </x:c>
    </x:row>
    <x:row r="28">
      <x:c r="A28" s="108" t="str">
        <x:v>IT-026-ALB</x:v>
      </x:c>
      <x:c r="B28" s="109" t="str">
        <x:v>IT-026</x:v>
      </x:c>
      <x:c r="C28" s="109" t="str">
        <x:v>אלבומין</x:v>
      </x:c>
      <x:c r="D28" s="109" t="str">
        <x:v>g/dL</x:v>
      </x:c>
      <x:c r="E28" s="109" t="str">
        <x:v>כן</x:v>
      </x:c>
      <x:c r="F28" s="110" t="str">
        <x:v>טווח ייחוס של המעבדה</x:v>
      </x:c>
      <x:c r="G28" s="124" t="n">
        <x:f>COUNTIF('תוצאות_מספריות'!$A$5:$A$36,A28)</x:f>
        <x:v>1</x:v>
      </x:c>
      <x:c r="H28" s="140" t="n">
        <x:f>IF(LEFT(A28,6)=B28,1,0)</x:f>
        <x:v>1</x:v>
      </x:c>
    </x:row>
    <x:row r="29">
      <x:c r="A29" s="108" t="str">
        <x:v>IT-027-INR</x:v>
      </x:c>
      <x:c r="B29" s="109" t="str">
        <x:v>IT-027</x:v>
      </x:c>
      <x:c r="C29" s="109" t="str">
        <x:v>INR</x:v>
      </x:c>
      <x:c r="D29" s="109" t="str">
        <x:v>יחס</x:v>
      </x:c>
      <x:c r="E29" s="109" t="str">
        <x:v>כן</x:v>
      </x:c>
      <x:c r="F29" s="110" t="str">
        <x:v>לציין אם המטופל מקבל נוגד קרישה</x:v>
      </x:c>
      <x:c r="G29" s="124" t="n">
        <x:f>COUNTIF('תוצאות_מספריות'!$A$5:$A$36,A29)</x:f>
        <x:v>1</x:v>
      </x:c>
      <x:c r="H29" s="140" t="n">
        <x:f>IF(LEFT(A29,6)=B29,1,0)</x:f>
        <x:v>1</x:v>
      </x:c>
    </x:row>
    <x:row r="30">
      <x:c r="A30" s="108" t="str">
        <x:v>IT-028-TNI</x:v>
      </x:c>
      <x:c r="B30" s="109" t="str">
        <x:v>IT-028</x:v>
      </x:c>
      <x:c r="C30" s="109" t="str">
        <x:v>hs-Troponin I</x:v>
      </x:c>
      <x:c r="D30" s="109" t="str">
        <x:v>ng/L</x:v>
      </x:c>
      <x:c r="E30" s="109" t="str">
        <x:v>כן</x:v>
      </x:c>
      <x:c r="F30" s="110" t="str">
        <x:v>טווח ייחוס ספציפי למעבדה</x:v>
      </x:c>
      <x:c r="G30" s="124" t="n">
        <x:f>COUNTIF('תוצאות_מספריות'!$A$5:$A$36,A30)</x:f>
        <x:v>1</x:v>
      </x:c>
      <x:c r="H30" s="140" t="n">
        <x:f>IF(LEFT(A30,6)=B30,1,0)</x:f>
        <x:v>1</x:v>
      </x:c>
    </x:row>
    <x:row r="31">
      <x:c r="A31" s="108" t="str">
        <x:v>IT-029-CPK</x:v>
      </x:c>
      <x:c r="B31" s="109" t="str">
        <x:v>IT-029</x:v>
      </x:c>
      <x:c r="C31" s="109" t="str">
        <x:v>CPK</x:v>
      </x:c>
      <x:c r="D31" s="109" t="str">
        <x:v>U/L</x:v>
      </x:c>
      <x:c r="E31" s="109" t="str">
        <x:v>כן</x:v>
      </x:c>
      <x:c r="F31" s="110" t="str">
        <x:v>טווח ייחוס של המעבדה</x:v>
      </x:c>
      <x:c r="G31" s="124" t="n">
        <x:f>COUNTIF('תוצאות_מספריות'!$A$5:$A$36,A31)</x:f>
        <x:v>1</x:v>
      </x:c>
      <x:c r="H31" s="140" t="n">
        <x:f>IF(LEFT(A31,6)=B31,1,0)</x:f>
        <x:v>1</x:v>
      </x:c>
    </x:row>
    <x:row r="32">
      <x:c r="A32" s="108" t="str">
        <x:v>IT-029-CKMB</x:v>
      </x:c>
      <x:c r="B32" s="109" t="str">
        <x:v>IT-029</x:v>
      </x:c>
      <x:c r="C32" s="109" t="str">
        <x:v>CK-MB</x:v>
      </x:c>
      <x:c r="D32" s="109" t="str">
        <x:v>ng/mL</x:v>
      </x:c>
      <x:c r="E32" s="109" t="str">
        <x:v>כן</x:v>
      </x:c>
      <x:c r="F32" s="110" t="str">
        <x:v>טווח ייחוס של המעבדה</x:v>
      </x:c>
      <x:c r="G32" s="124" t="n">
        <x:f>COUNTIF('תוצאות_מספריות'!$A$5:$A$36,A32)</x:f>
        <x:v>1</x:v>
      </x:c>
      <x:c r="H32" s="140" t="n">
        <x:f>IF(LEFT(A32,6)=B32,1,0)</x:f>
        <x:v>1</x:v>
      </x:c>
    </x:row>
    <x:row r="33">
      <x:c r="A33" s="108" t="str">
        <x:v>IT-030-UREA</x:v>
      </x:c>
      <x:c r="B33" s="109" t="str">
        <x:v>IT-030</x:v>
      </x:c>
      <x:c r="C33" s="109" t="str">
        <x:v>אוריאה</x:v>
      </x:c>
      <x:c r="D33" s="109" t="str">
        <x:v>mg/dL</x:v>
      </x:c>
      <x:c r="E33" s="109" t="str">
        <x:v>כן</x:v>
      </x:c>
      <x:c r="F33" s="110" t="str">
        <x:v>טווח ייחוס של המעבדה</x:v>
      </x:c>
      <x:c r="G33" s="124" t="n">
        <x:f>COUNTIF('תוצאות_מספריות'!$A$5:$A$36,A33)</x:f>
        <x:v>1</x:v>
      </x:c>
      <x:c r="H33" s="140" t="n">
        <x:f>IF(LEFT(A33,6)=B33,1,0)</x:f>
        <x:v>1</x:v>
      </x:c>
    </x:row>
    <x:row r="34">
      <x:c r="A34" s="108" t="str">
        <x:v>IT-031-CREA</x:v>
      </x:c>
      <x:c r="B34" s="109" t="str">
        <x:v>IT-031</x:v>
      </x:c>
      <x:c r="C34" s="109" t="str">
        <x:v>קריאטינין</x:v>
      </x:c>
      <x:c r="D34" s="109" t="str">
        <x:v>mg/dL</x:v>
      </x:c>
      <x:c r="E34" s="109" t="str">
        <x:v>כן</x:v>
      </x:c>
      <x:c r="F34" s="110" t="str">
        <x:v>טווח ייחוס תלוי מעבדה</x:v>
      </x:c>
      <x:c r="G34" s="124" t="n">
        <x:f>COUNTIF('תוצאות_מספריות'!$A$5:$A$36,A34)</x:f>
        <x:v>1</x:v>
      </x:c>
      <x:c r="H34" s="140" t="n">
        <x:f>IF(LEFT(A34,6)=B34,1,0)</x:f>
        <x:v>1</x:v>
      </x:c>
    </x:row>
    <x:row r="35">
      <x:c r="A35" s="108" t="str">
        <x:v>IT-031-EGFR</x:v>
      </x:c>
      <x:c r="B35" s="109" t="str">
        <x:v>IT-031</x:v>
      </x:c>
      <x:c r="C35" s="109" t="str">
        <x:v>eGFR</x:v>
      </x:c>
      <x:c r="D35" s="109" t="str">
        <x:v>mL/min/1.73m²</x:v>
      </x:c>
      <x:c r="E35" s="109" t="str">
        <x:v>כן</x:v>
      </x:c>
      <x:c r="F35" s="110" t="str">
        <x:v>להציג את סף המעבדה</x:v>
      </x:c>
      <x:c r="G35" s="124" t="n">
        <x:f>COUNTIF('תוצאות_מספריות'!$A$5:$A$36,A35)</x:f>
        <x:v>1</x:v>
      </x:c>
      <x:c r="H35" s="140" t="n">
        <x:f>IF(LEFT(A35,6)=B35,1,0)</x:f>
        <x:v>1</x:v>
      </x:c>
    </x:row>
    <x:row r="36">
      <x:c r="A36" s="111" t="str">
        <x:v>IT-032-BNP</x:v>
      </x:c>
      <x:c r="B36" s="112" t="str">
        <x:v>IT-032</x:v>
      </x:c>
      <x:c r="C36" s="112" t="str">
        <x:v>BNP</x:v>
      </x:c>
      <x:c r="D36" s="112" t="str">
        <x:v>pg/mL</x:v>
      </x:c>
      <x:c r="E36" s="112" t="str">
        <x:v>כן</x:v>
      </x:c>
      <x:c r="F36" s="113" t="str">
        <x:v>טווח ייחוס של המעבדה</x:v>
      </x:c>
      <x:c r="G36" s="125" t="n">
        <x:f>COUNTIF('תוצאות_מספריות'!$A$5:$A$36,A36)</x:f>
        <x:v>1</x:v>
      </x:c>
      <x:c r="H36" s="140" t="n">
        <x:f>IF(LEFT(A36,6)=B36,1,0)</x:f>
        <x:v>1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12" hidden="0" customWidth="1"/>
    <x:col min="6" max="6" width="12" hidden="0" customWidth="1"/>
    <x:col min="7" max="7" width="16" hidden="0" customWidth="1"/>
    <x:col min="8" max="8" width="12" hidden="0" customWidth="1"/>
    <x:col min="9" max="9" width="12" hidden="0" customWidth="1"/>
    <x:col min="10" max="10" width="16" hidden="0" customWidth="1"/>
    <x:col min="11" max="11" width="12" hidden="0" customWidth="1"/>
    <x:col min="12" max="12" width="12" hidden="0" customWidth="1"/>
  </x:cols>
  <x:sheetData>
    <x:row r="1" ht="30" customHeight="1">
      <x:c r="A1" s="74" t="str">
        <x:v>מילון מזהי הבסיס לבקרת איכות</x:v>
      </x:c>
      <x:c r="B1" s="74" t="str">
        <x:v>מילון מזהי הבסיס לבקרת איכות</x:v>
      </x:c>
      <x:c r="C1" s="74" t="str">
        <x:v>מילון מזהי הבסיס לבקרת איכות</x:v>
      </x:c>
      <x:c r="D1" s="74" t="str">
        <x:v>מילון מזהי הבסיס לבקרת איכות</x:v>
      </x:c>
      <x:c r="E1" s="74" t="str">
        <x:v>מילון מזהי הבסיס לבקרת איכות</x:v>
      </x:c>
      <x:c r="F1" s="74" t="str">
        <x:v>מילון מזהי הבסיס לבקרת איכות</x:v>
      </x:c>
      <x:c r="G1" s="74" t="str">
        <x:v>מילון מזהי הבסיס לבקרת איכות</x:v>
      </x:c>
      <x:c r="H1" s="74" t="str">
        <x:v>מילון מזהי הבסיס לבקרת איכות</x:v>
      </x:c>
      <x:c r="I1" s="74" t="str">
        <x:v>מילון מזהי הבסיס לבקרת איכות</x:v>
      </x:c>
      <x:c r="J1" s="74" t="str">
        <x:v>מילון מזהי הבסיס לבקרת איכות</x:v>
      </x:c>
      <x:c r="K1" s="74" t="str">
        <x:v>מילון מזהי הבסיס לבקרת איכות</x:v>
      </x:c>
      <x:c r="L1" s="74" t="str">
        <x:v>מילון מזהי הבסיס לבקרת איכות</x:v>
      </x:c>
    </x:row>
    <x:row r="2" ht="34" customHeight="1">
      <x:c r="A2" s="79" t="str">
        <x:v>גיליון עזר: כל מזהה צפוי נספר ישירות מול תיק המטופל. אין לערוך.</x:v>
      </x:c>
      <x:c r="B2" s="79" t="str">
        <x:v>גיליון עזר שנבנה ממסד הידע הכללי. כל מזהה נספר מול תיק המטופל בנוסחה נפרדת; אין לערוך גיליון זה.</x:v>
      </x:c>
      <x:c r="C2" s="79" t="str">
        <x:v>גיליון עזר שנבנה ממסד הידע הכללי. כל מזהה נספר מול תיק המטופל בנוסחה נפרדת; אין לערוך גיליון זה.</x:v>
      </x:c>
      <x:c r="D2" s="79" t="str">
        <x:v>גיליון עזר שנבנה ממסד הידע הכללי. כל מזהה נספר מול תיק המטופל בנוסחה נפרדת; אין לערוך גיליון זה.</x:v>
      </x:c>
      <x:c r="E2" s="79" t="str">
        <x:v>גיליון עזר שנבנה ממסד הידע הכללי. כל מזהה נספר מול תיק המטופל בנוסחה נפרדת; אין לערוך גיליון זה.</x:v>
      </x:c>
      <x:c r="F2" s="79" t="str">
        <x:v>גיליון עזר שנבנה ממסד הידע הכללי. כל מזהה נספר מול תיק המטופל בנוסחה נפרדת; אין לערוך גיליון זה.</x:v>
      </x:c>
      <x:c r="G2" s="79" t="str">
        <x:v>גיליון עזר שנבנה ממסד הידע הכללי. כל מזהה נספר מול תיק המטופל בנוסחה נפרדת; אין לערוך גיליון זה.</x:v>
      </x:c>
      <x:c r="H2" s="79" t="str">
        <x:v>גיליון עזר שנבנה ממסד הידע הכללי. כל מזהה נספר מול תיק המטופל בנוסחה נפרדת; אין לערוך גיליון זה.</x:v>
      </x:c>
      <x:c r="I2" s="79" t="str">
        <x:v>גיליון עזר שנבנה ממסד הידע הכללי. כל מזהה נספר מול תיק המטופל בנוסחה נפרדת; אין לערוך גיליון זה.</x:v>
      </x:c>
      <x:c r="J2" s="79" t="str">
        <x:v>גיליון עזר שנבנה ממסד הידע הכללי. כל מזהה נספר מול תיק המטופל בנוסחה נפרדת; אין לערוך גיליון זה.</x:v>
      </x:c>
      <x:c r="K2" s="79" t="str">
        <x:v>גיליון עזר שנבנה ממסד הידע הכללי. כל מזהה נספר מול תיק המטופל בנוסחה נפרדת; אין לערוך גיליון זה.</x:v>
      </x:c>
      <x:c r="L2" s="79" t="str">
        <x:v>גיליון עזר שנבנה ממסד הידע הכללי. כל מזהה נספר מול תיק המטופל בנוסחה נפרדת; אין לערוך גיליון זה.</x:v>
      </x:c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>
      <x:c r="A4" s="85" t="str">
        <x:v>AN — מזהה צפוי</x:v>
      </x:c>
      <x:c r="B4" s="85" t="str">
        <x:v>מופעים בתיק</x:v>
      </x:c>
      <x:c r="C4" s="85" t="str">
        <x:v>מצב</x:v>
      </x:c>
      <x:c r="D4" s="85" t="str">
        <x:v>PE — מזהה צפוי</x:v>
      </x:c>
      <x:c r="E4" s="85" t="str">
        <x:v>מופעים בתיק</x:v>
      </x:c>
      <x:c r="F4" s="85" t="str">
        <x:v>מצב</x:v>
      </x:c>
      <x:c r="G4" s="85" t="str">
        <x:v>IT — מזהה צפוי</x:v>
      </x:c>
      <x:c r="H4" s="85" t="str">
        <x:v>מופעים בתיק</x:v>
      </x:c>
      <x:c r="I4" s="85" t="str">
        <x:v>מצב</x:v>
      </x:c>
      <x:c r="J4" s="85" t="str">
        <x:v>FT — מזהה צפוי</x:v>
      </x:c>
      <x:c r="K4" s="85" t="str">
        <x:v>מופעים בתיק</x:v>
      </x:c>
      <x:c r="L4" s="85" t="str">
        <x:v>מצב</x:v>
      </x:c>
    </x:row>
    <x:row r="5">
      <x:c r="A5" s="105" t="str">
        <x:v>AN-001</x:v>
      </x:c>
      <x:c r="B5" s="106" t="n">
        <x:f>COUNTIF('אנמנזה'!$B$5:$B$93,A5)</x:f>
        <x:v>1</x:v>
      </x:c>
      <x:c r="C5" s="106" t="str">
        <x:v>תקין</x:v>
      </x:c>
      <x:c r="D5" s="106" t="str">
        <x:v>PE-001</x:v>
      </x:c>
      <x:c r="E5" s="106" t="n">
        <x:f>COUNTIF('בדיקה_גופנית'!$B$5:$B$49,D5)</x:f>
        <x:v>1</x:v>
      </x:c>
      <x:c r="F5" s="106" t="str">
        <x:v>תקין</x:v>
      </x:c>
      <x:c r="G5" s="106" t="str">
        <x:v>IT-001</x:v>
      </x:c>
      <x:c r="H5" s="106" t="n">
        <x:f>COUNTIF('בדיקות_מיידיות'!$B$5:$B$37,G5)</x:f>
        <x:v>1</x:v>
      </x:c>
      <x:c r="I5" s="106" t="str">
        <x:v>תקין</x:v>
      </x:c>
      <x:c r="J5" s="106" t="str">
        <x:v>FT-001</x:v>
      </x:c>
      <x:c r="K5" s="106" t="n">
        <x:f>COUNTIF('בדיקות_המשך'!$B$5:$B$13,J5)</x:f>
        <x:v>1</x:v>
      </x:c>
      <x:c r="L5" s="107" t="str">
        <x:v>תקין</x:v>
      </x:c>
    </x:row>
    <x:row r="6">
      <x:c r="A6" s="108" t="str">
        <x:v>AN-002</x:v>
      </x:c>
      <x:c r="B6" s="109" t="n">
        <x:f>COUNTIF('אנמנזה'!$B$5:$B$93,A6)</x:f>
        <x:v>1</x:v>
      </x:c>
      <x:c r="C6" s="109" t="str">
        <x:v>תקין</x:v>
      </x:c>
      <x:c r="D6" s="109" t="str">
        <x:v>PE-002</x:v>
      </x:c>
      <x:c r="E6" s="109" t="n">
        <x:f>COUNTIF('בדיקה_גופנית'!$B$5:$B$49,D6)</x:f>
        <x:v>1</x:v>
      </x:c>
      <x:c r="F6" s="109" t="str">
        <x:v>תקין</x:v>
      </x:c>
      <x:c r="G6" s="109" t="str">
        <x:v>IT-002</x:v>
      </x:c>
      <x:c r="H6" s="109" t="n">
        <x:f>COUNTIF('בדיקות_מיידיות'!$B$5:$B$37,G6)</x:f>
        <x:v>1</x:v>
      </x:c>
      <x:c r="I6" s="109" t="str">
        <x:v>תקין</x:v>
      </x:c>
      <x:c r="J6" s="109" t="str">
        <x:v>FT-002</x:v>
      </x:c>
      <x:c r="K6" s="109" t="n">
        <x:f>COUNTIF('בדיקות_המשך'!$B$5:$B$13,J6)</x:f>
        <x:v>1</x:v>
      </x:c>
      <x:c r="L6" s="110" t="str">
        <x:v>תקין</x:v>
      </x:c>
    </x:row>
    <x:row r="7">
      <x:c r="A7" s="108" t="str">
        <x:v>AN-003</x:v>
      </x:c>
      <x:c r="B7" s="109" t="n">
        <x:f>COUNTIF('אנמנזה'!$B$5:$B$93,A7)</x:f>
        <x:v>1</x:v>
      </x:c>
      <x:c r="C7" s="109" t="str">
        <x:v>תקין</x:v>
      </x:c>
      <x:c r="D7" s="109" t="str">
        <x:v>PE-003</x:v>
      </x:c>
      <x:c r="E7" s="109" t="n">
        <x:f>COUNTIF('בדיקה_גופנית'!$B$5:$B$49,D7)</x:f>
        <x:v>1</x:v>
      </x:c>
      <x:c r="F7" s="109" t="str">
        <x:v>תקין</x:v>
      </x:c>
      <x:c r="G7" s="109" t="str">
        <x:v>IT-003</x:v>
      </x:c>
      <x:c r="H7" s="109" t="n">
        <x:f>COUNTIF('בדיקות_מיידיות'!$B$5:$B$37,G7)</x:f>
        <x:v>1</x:v>
      </x:c>
      <x:c r="I7" s="109" t="str">
        <x:v>תקין</x:v>
      </x:c>
      <x:c r="J7" s="109" t="str">
        <x:v>FT-003</x:v>
      </x:c>
      <x:c r="K7" s="109" t="n">
        <x:f>COUNTIF('בדיקות_המשך'!$B$5:$B$13,J7)</x:f>
        <x:v>1</x:v>
      </x:c>
      <x:c r="L7" s="110" t="str">
        <x:v>תקין</x:v>
      </x:c>
    </x:row>
    <x:row r="8">
      <x:c r="A8" s="108" t="str">
        <x:v>AN-004</x:v>
      </x:c>
      <x:c r="B8" s="109" t="n">
        <x:f>COUNTIF('אנמנזה'!$B$5:$B$93,A8)</x:f>
        <x:v>1</x:v>
      </x:c>
      <x:c r="C8" s="109" t="str">
        <x:v>תקין</x:v>
      </x:c>
      <x:c r="D8" s="109" t="str">
        <x:v>PE-004</x:v>
      </x:c>
      <x:c r="E8" s="109" t="n">
        <x:f>COUNTIF('בדיקה_גופנית'!$B$5:$B$49,D8)</x:f>
        <x:v>1</x:v>
      </x:c>
      <x:c r="F8" s="109" t="str">
        <x:v>תקין</x:v>
      </x:c>
      <x:c r="G8" s="109" t="str">
        <x:v>IT-004</x:v>
      </x:c>
      <x:c r="H8" s="109" t="n">
        <x:f>COUNTIF('בדיקות_מיידיות'!$B$5:$B$37,G8)</x:f>
        <x:v>1</x:v>
      </x:c>
      <x:c r="I8" s="109" t="str">
        <x:v>תקין</x:v>
      </x:c>
      <x:c r="J8" s="109" t="str">
        <x:v>FT-004</x:v>
      </x:c>
      <x:c r="K8" s="109" t="n">
        <x:f>COUNTIF('בדיקות_המשך'!$B$5:$B$13,J8)</x:f>
        <x:v>1</x:v>
      </x:c>
      <x:c r="L8" s="110" t="str">
        <x:v>תקין</x:v>
      </x:c>
    </x:row>
    <x:row r="9">
      <x:c r="A9" s="108" t="str">
        <x:v>AN-005</x:v>
      </x:c>
      <x:c r="B9" s="109" t="n">
        <x:f>COUNTIF('אנמנזה'!$B$5:$B$93,A9)</x:f>
        <x:v>1</x:v>
      </x:c>
      <x:c r="C9" s="109" t="str">
        <x:v>תקין</x:v>
      </x:c>
      <x:c r="D9" s="109" t="str">
        <x:v>PE-005</x:v>
      </x:c>
      <x:c r="E9" s="109" t="n">
        <x:f>COUNTIF('בדיקה_גופנית'!$B$5:$B$49,D9)</x:f>
        <x:v>1</x:v>
      </x:c>
      <x:c r="F9" s="109" t="str">
        <x:v>תקין</x:v>
      </x:c>
      <x:c r="G9" s="109" t="str">
        <x:v>IT-005</x:v>
      </x:c>
      <x:c r="H9" s="109" t="n">
        <x:f>COUNTIF('בדיקות_מיידיות'!$B$5:$B$37,G9)</x:f>
        <x:v>1</x:v>
      </x:c>
      <x:c r="I9" s="109" t="str">
        <x:v>תקין</x:v>
      </x:c>
      <x:c r="J9" s="109" t="str">
        <x:v>FT-005</x:v>
      </x:c>
      <x:c r="K9" s="109" t="n">
        <x:f>COUNTIF('בדיקות_המשך'!$B$5:$B$13,J9)</x:f>
        <x:v>1</x:v>
      </x:c>
      <x:c r="L9" s="110" t="str">
        <x:v>תקין</x:v>
      </x:c>
    </x:row>
    <x:row r="10">
      <x:c r="A10" s="108" t="str">
        <x:v>AN-006</x:v>
      </x:c>
      <x:c r="B10" s="109" t="n">
        <x:f>COUNTIF('אנמנזה'!$B$5:$B$93,A10)</x:f>
        <x:v>1</x:v>
      </x:c>
      <x:c r="C10" s="109" t="str">
        <x:v>תקין</x:v>
      </x:c>
      <x:c r="D10" s="109" t="str">
        <x:v>PE-006</x:v>
      </x:c>
      <x:c r="E10" s="109" t="n">
        <x:f>COUNTIF('בדיקה_גופנית'!$B$5:$B$49,D10)</x:f>
        <x:v>1</x:v>
      </x:c>
      <x:c r="F10" s="109" t="str">
        <x:v>תקין</x:v>
      </x:c>
      <x:c r="G10" s="109" t="str">
        <x:v>IT-006</x:v>
      </x:c>
      <x:c r="H10" s="109" t="n">
        <x:f>COUNTIF('בדיקות_מיידיות'!$B$5:$B$37,G10)</x:f>
        <x:v>1</x:v>
      </x:c>
      <x:c r="I10" s="109" t="str">
        <x:v>תקין</x:v>
      </x:c>
      <x:c r="J10" s="109" t="str">
        <x:v>FT-006</x:v>
      </x:c>
      <x:c r="K10" s="109" t="n">
        <x:f>COUNTIF('בדיקות_המשך'!$B$5:$B$13,J10)</x:f>
        <x:v>1</x:v>
      </x:c>
      <x:c r="L10" s="110" t="str">
        <x:v>תקין</x:v>
      </x:c>
    </x:row>
    <x:row r="11">
      <x:c r="A11" s="108" t="str">
        <x:v>AN-007</x:v>
      </x:c>
      <x:c r="B11" s="109" t="n">
        <x:f>COUNTIF('אנמנזה'!$B$5:$B$93,A11)</x:f>
        <x:v>1</x:v>
      </x:c>
      <x:c r="C11" s="109" t="str">
        <x:v>תקין</x:v>
      </x:c>
      <x:c r="D11" s="109" t="str">
        <x:v>PE-007</x:v>
      </x:c>
      <x:c r="E11" s="109" t="n">
        <x:f>COUNTIF('בדיקה_גופנית'!$B$5:$B$49,D11)</x:f>
        <x:v>1</x:v>
      </x:c>
      <x:c r="F11" s="109" t="str">
        <x:v>תקין</x:v>
      </x:c>
      <x:c r="G11" s="109" t="str">
        <x:v>IT-007</x:v>
      </x:c>
      <x:c r="H11" s="109" t="n">
        <x:f>COUNTIF('בדיקות_מיידיות'!$B$5:$B$37,G11)</x:f>
        <x:v>1</x:v>
      </x:c>
      <x:c r="I11" s="109" t="str">
        <x:v>תקין</x:v>
      </x:c>
      <x:c r="J11" s="109" t="str">
        <x:v>FT-007</x:v>
      </x:c>
      <x:c r="K11" s="109" t="n">
        <x:f>COUNTIF('בדיקות_המשך'!$B$5:$B$13,J11)</x:f>
        <x:v>1</x:v>
      </x:c>
      <x:c r="L11" s="110" t="str">
        <x:v>תקין</x:v>
      </x:c>
    </x:row>
    <x:row r="12">
      <x:c r="A12" s="108" t="str">
        <x:v>AN-008</x:v>
      </x:c>
      <x:c r="B12" s="109" t="n">
        <x:f>COUNTIF('אנמנזה'!$B$5:$B$93,A12)</x:f>
        <x:v>1</x:v>
      </x:c>
      <x:c r="C12" s="109" t="str">
        <x:v>תקין</x:v>
      </x:c>
      <x:c r="D12" s="109" t="str">
        <x:v>PE-008</x:v>
      </x:c>
      <x:c r="E12" s="109" t="n">
        <x:f>COUNTIF('בדיקה_גופנית'!$B$5:$B$49,D12)</x:f>
        <x:v>1</x:v>
      </x:c>
      <x:c r="F12" s="109" t="str">
        <x:v>תקין</x:v>
      </x:c>
      <x:c r="G12" s="109" t="str">
        <x:v>IT-008</x:v>
      </x:c>
      <x:c r="H12" s="109" t="n">
        <x:f>COUNTIF('בדיקות_מיידיות'!$B$5:$B$37,G12)</x:f>
        <x:v>1</x:v>
      </x:c>
      <x:c r="I12" s="109" t="str">
        <x:v>תקין</x:v>
      </x:c>
      <x:c r="J12" s="109" t="str">
        <x:v>FT-008</x:v>
      </x:c>
      <x:c r="K12" s="109" t="n">
        <x:f>COUNTIF('בדיקות_המשך'!$B$5:$B$13,J12)</x:f>
        <x:v>1</x:v>
      </x:c>
      <x:c r="L12" s="110" t="str">
        <x:v>תקין</x:v>
      </x:c>
    </x:row>
    <x:row r="13">
      <x:c r="A13" s="108" t="str">
        <x:v>AN-009</x:v>
      </x:c>
      <x:c r="B13" s="109" t="n">
        <x:f>COUNTIF('אנמנזה'!$B$5:$B$93,A13)</x:f>
        <x:v>1</x:v>
      </x:c>
      <x:c r="C13" s="109" t="str">
        <x:v>תקין</x:v>
      </x:c>
      <x:c r="D13" s="109" t="str">
        <x:v>PE-009</x:v>
      </x:c>
      <x:c r="E13" s="109" t="n">
        <x:f>COUNTIF('בדיקה_גופנית'!$B$5:$B$49,D13)</x:f>
        <x:v>1</x:v>
      </x:c>
      <x:c r="F13" s="109" t="str">
        <x:v>תקין</x:v>
      </x:c>
      <x:c r="G13" s="109" t="str">
        <x:v>IT-009</x:v>
      </x:c>
      <x:c r="H13" s="109" t="n">
        <x:f>COUNTIF('בדיקות_מיידיות'!$B$5:$B$37,G13)</x:f>
        <x:v>1</x:v>
      </x:c>
      <x:c r="I13" s="109" t="str">
        <x:v>תקין</x:v>
      </x:c>
      <x:c r="J13" s="109" t="str">
        <x:v>FT-009</x:v>
      </x:c>
      <x:c r="K13" s="109" t="n">
        <x:f>COUNTIF('בדיקות_המשך'!$B$5:$B$13,J13)</x:f>
        <x:v>1</x:v>
      </x:c>
      <x:c r="L13" s="110" t="str">
        <x:v>תקין</x:v>
      </x:c>
    </x:row>
    <x:row r="14">
      <x:c r="A14" s="108" t="str">
        <x:v>AN-010</x:v>
      </x:c>
      <x:c r="B14" s="109" t="n">
        <x:f>COUNTIF('אנמנזה'!$B$5:$B$93,A14)</x:f>
        <x:v>1</x:v>
      </x:c>
      <x:c r="C14" s="109" t="str">
        <x:v>תקין</x:v>
      </x:c>
      <x:c r="D14" s="109" t="str">
        <x:v>PE-010</x:v>
      </x:c>
      <x:c r="E14" s="109" t="n">
        <x:f>COUNTIF('בדיקה_גופנית'!$B$5:$B$49,D14)</x:f>
        <x:v>1</x:v>
      </x:c>
      <x:c r="F14" s="109" t="str">
        <x:v>תקין</x:v>
      </x:c>
      <x:c r="G14" s="109" t="str">
        <x:v>IT-010</x:v>
      </x:c>
      <x:c r="H14" s="109" t="n">
        <x:f>COUNTIF('בדיקות_מיידיות'!$B$5:$B$37,G14)</x:f>
        <x:v>1</x:v>
      </x:c>
      <x:c r="I14" s="109" t="str">
        <x:v>תקין</x:v>
      </x:c>
      <x:c r="J14" s="109"/>
      <x:c r="K14" s="109"/>
      <x:c r="L14" s="110"/>
    </x:row>
    <x:row r="15">
      <x:c r="A15" s="108" t="str">
        <x:v>AN-011</x:v>
      </x:c>
      <x:c r="B15" s="109" t="n">
        <x:f>COUNTIF('אנמנזה'!$B$5:$B$93,A15)</x:f>
        <x:v>1</x:v>
      </x:c>
      <x:c r="C15" s="109" t="str">
        <x:v>תקין</x:v>
      </x:c>
      <x:c r="D15" s="109" t="str">
        <x:v>PE-011</x:v>
      </x:c>
      <x:c r="E15" s="109" t="n">
        <x:f>COUNTIF('בדיקה_גופנית'!$B$5:$B$49,D15)</x:f>
        <x:v>1</x:v>
      </x:c>
      <x:c r="F15" s="109" t="str">
        <x:v>תקין</x:v>
      </x:c>
      <x:c r="G15" s="109" t="str">
        <x:v>IT-011</x:v>
      </x:c>
      <x:c r="H15" s="109" t="n">
        <x:f>COUNTIF('בדיקות_מיידיות'!$B$5:$B$37,G15)</x:f>
        <x:v>1</x:v>
      </x:c>
      <x:c r="I15" s="109" t="str">
        <x:v>תקין</x:v>
      </x:c>
      <x:c r="J15" s="109"/>
      <x:c r="K15" s="109"/>
      <x:c r="L15" s="110"/>
    </x:row>
    <x:row r="16">
      <x:c r="A16" s="108" t="str">
        <x:v>AN-012</x:v>
      </x:c>
      <x:c r="B16" s="109" t="n">
        <x:f>COUNTIF('אנמנזה'!$B$5:$B$93,A16)</x:f>
        <x:v>1</x:v>
      </x:c>
      <x:c r="C16" s="109" t="str">
        <x:v>תקין</x:v>
      </x:c>
      <x:c r="D16" s="109" t="str">
        <x:v>PE-012</x:v>
      </x:c>
      <x:c r="E16" s="109" t="n">
        <x:f>COUNTIF('בדיקה_גופנית'!$B$5:$B$49,D16)</x:f>
        <x:v>1</x:v>
      </x:c>
      <x:c r="F16" s="109" t="str">
        <x:v>תקין</x:v>
      </x:c>
      <x:c r="G16" s="109" t="str">
        <x:v>IT-012</x:v>
      </x:c>
      <x:c r="H16" s="109" t="n">
        <x:f>COUNTIF('בדיקות_מיידיות'!$B$5:$B$37,G16)</x:f>
        <x:v>1</x:v>
      </x:c>
      <x:c r="I16" s="109" t="str">
        <x:v>תקין</x:v>
      </x:c>
      <x:c r="J16" s="109"/>
      <x:c r="K16" s="109"/>
      <x:c r="L16" s="110"/>
    </x:row>
    <x:row r="17">
      <x:c r="A17" s="108" t="str">
        <x:v>AN-013</x:v>
      </x:c>
      <x:c r="B17" s="109" t="n">
        <x:f>COUNTIF('אנמנזה'!$B$5:$B$93,A17)</x:f>
        <x:v>1</x:v>
      </x:c>
      <x:c r="C17" s="109" t="str">
        <x:v>תקין</x:v>
      </x:c>
      <x:c r="D17" s="109" t="str">
        <x:v>PE-013</x:v>
      </x:c>
      <x:c r="E17" s="109" t="n">
        <x:f>COUNTIF('בדיקה_גופנית'!$B$5:$B$49,D17)</x:f>
        <x:v>1</x:v>
      </x:c>
      <x:c r="F17" s="109" t="str">
        <x:v>תקין</x:v>
      </x:c>
      <x:c r="G17" s="109" t="str">
        <x:v>IT-013</x:v>
      </x:c>
      <x:c r="H17" s="109" t="n">
        <x:f>COUNTIF('בדיקות_מיידיות'!$B$5:$B$37,G17)</x:f>
        <x:v>1</x:v>
      </x:c>
      <x:c r="I17" s="109" t="str">
        <x:v>תקין</x:v>
      </x:c>
      <x:c r="J17" s="109"/>
      <x:c r="K17" s="109"/>
      <x:c r="L17" s="110"/>
    </x:row>
    <x:row r="18">
      <x:c r="A18" s="108" t="str">
        <x:v>AN-014</x:v>
      </x:c>
      <x:c r="B18" s="109" t="n">
        <x:f>COUNTIF('אנמנזה'!$B$5:$B$93,A18)</x:f>
        <x:v>1</x:v>
      </x:c>
      <x:c r="C18" s="109" t="str">
        <x:v>תקין</x:v>
      </x:c>
      <x:c r="D18" s="109" t="str">
        <x:v>PE-014</x:v>
      </x:c>
      <x:c r="E18" s="109" t="n">
        <x:f>COUNTIF('בדיקה_גופנית'!$B$5:$B$49,D18)</x:f>
        <x:v>1</x:v>
      </x:c>
      <x:c r="F18" s="109" t="str">
        <x:v>תקין</x:v>
      </x:c>
      <x:c r="G18" s="109" t="str">
        <x:v>IT-014</x:v>
      </x:c>
      <x:c r="H18" s="109" t="n">
        <x:f>COUNTIF('בדיקות_מיידיות'!$B$5:$B$37,G18)</x:f>
        <x:v>1</x:v>
      </x:c>
      <x:c r="I18" s="109" t="str">
        <x:v>תקין</x:v>
      </x:c>
      <x:c r="J18" s="109"/>
      <x:c r="K18" s="109"/>
      <x:c r="L18" s="110"/>
    </x:row>
    <x:row r="19">
      <x:c r="A19" s="108" t="str">
        <x:v>AN-015</x:v>
      </x:c>
      <x:c r="B19" s="109" t="n">
        <x:f>COUNTIF('אנמנזה'!$B$5:$B$93,A19)</x:f>
        <x:v>1</x:v>
      </x:c>
      <x:c r="C19" s="109" t="str">
        <x:v>תקין</x:v>
      </x:c>
      <x:c r="D19" s="109" t="str">
        <x:v>PE-015</x:v>
      </x:c>
      <x:c r="E19" s="109" t="n">
        <x:f>COUNTIF('בדיקה_גופנית'!$B$5:$B$49,D19)</x:f>
        <x:v>1</x:v>
      </x:c>
      <x:c r="F19" s="109" t="str">
        <x:v>תקין</x:v>
      </x:c>
      <x:c r="G19" s="109" t="str">
        <x:v>IT-015</x:v>
      </x:c>
      <x:c r="H19" s="109" t="n">
        <x:f>COUNTIF('בדיקות_מיידיות'!$B$5:$B$37,G19)</x:f>
        <x:v>1</x:v>
      </x:c>
      <x:c r="I19" s="109" t="str">
        <x:v>תקין</x:v>
      </x:c>
      <x:c r="J19" s="109"/>
      <x:c r="K19" s="109"/>
      <x:c r="L19" s="110"/>
    </x:row>
    <x:row r="20">
      <x:c r="A20" s="108" t="str">
        <x:v>AN-016</x:v>
      </x:c>
      <x:c r="B20" s="109" t="n">
        <x:f>COUNTIF('אנמנזה'!$B$5:$B$93,A20)</x:f>
        <x:v>1</x:v>
      </x:c>
      <x:c r="C20" s="109" t="str">
        <x:v>תקין</x:v>
      </x:c>
      <x:c r="D20" s="109" t="str">
        <x:v>PE-016</x:v>
      </x:c>
      <x:c r="E20" s="109" t="n">
        <x:f>COUNTIF('בדיקה_גופנית'!$B$5:$B$49,D20)</x:f>
        <x:v>1</x:v>
      </x:c>
      <x:c r="F20" s="109" t="str">
        <x:v>תקין</x:v>
      </x:c>
      <x:c r="G20" s="109" t="str">
        <x:v>IT-016</x:v>
      </x:c>
      <x:c r="H20" s="109" t="n">
        <x:f>COUNTIF('בדיקות_מיידיות'!$B$5:$B$37,G20)</x:f>
        <x:v>1</x:v>
      </x:c>
      <x:c r="I20" s="109" t="str">
        <x:v>תקין</x:v>
      </x:c>
      <x:c r="J20" s="109"/>
      <x:c r="K20" s="109"/>
      <x:c r="L20" s="110"/>
    </x:row>
    <x:row r="21">
      <x:c r="A21" s="108" t="str">
        <x:v>AN-017</x:v>
      </x:c>
      <x:c r="B21" s="109" t="n">
        <x:f>COUNTIF('אנמנזה'!$B$5:$B$93,A21)</x:f>
        <x:v>1</x:v>
      </x:c>
      <x:c r="C21" s="109" t="str">
        <x:v>תקין</x:v>
      </x:c>
      <x:c r="D21" s="109" t="str">
        <x:v>PE-017</x:v>
      </x:c>
      <x:c r="E21" s="109" t="n">
        <x:f>COUNTIF('בדיקה_גופנית'!$B$5:$B$49,D21)</x:f>
        <x:v>1</x:v>
      </x:c>
      <x:c r="F21" s="109" t="str">
        <x:v>תקין</x:v>
      </x:c>
      <x:c r="G21" s="109" t="str">
        <x:v>IT-017</x:v>
      </x:c>
      <x:c r="H21" s="109" t="n">
        <x:f>COUNTIF('בדיקות_מיידיות'!$B$5:$B$37,G21)</x:f>
        <x:v>1</x:v>
      </x:c>
      <x:c r="I21" s="109" t="str">
        <x:v>תקין</x:v>
      </x:c>
      <x:c r="J21" s="109"/>
      <x:c r="K21" s="109"/>
      <x:c r="L21" s="110"/>
    </x:row>
    <x:row r="22">
      <x:c r="A22" s="108" t="str">
        <x:v>AN-018</x:v>
      </x:c>
      <x:c r="B22" s="109" t="n">
        <x:f>COUNTIF('אנמנזה'!$B$5:$B$93,A22)</x:f>
        <x:v>1</x:v>
      </x:c>
      <x:c r="C22" s="109" t="str">
        <x:v>תקין</x:v>
      </x:c>
      <x:c r="D22" s="109" t="str">
        <x:v>PE-018</x:v>
      </x:c>
      <x:c r="E22" s="109" t="n">
        <x:f>COUNTIF('בדיקה_גופנית'!$B$5:$B$49,D22)</x:f>
        <x:v>1</x:v>
      </x:c>
      <x:c r="F22" s="109" t="str">
        <x:v>תקין</x:v>
      </x:c>
      <x:c r="G22" s="109" t="str">
        <x:v>IT-018</x:v>
      </x:c>
      <x:c r="H22" s="109" t="n">
        <x:f>COUNTIF('בדיקות_מיידיות'!$B$5:$B$37,G22)</x:f>
        <x:v>1</x:v>
      </x:c>
      <x:c r="I22" s="109" t="str">
        <x:v>תקין</x:v>
      </x:c>
      <x:c r="J22" s="109"/>
      <x:c r="K22" s="109"/>
      <x:c r="L22" s="110"/>
    </x:row>
    <x:row r="23">
      <x:c r="A23" s="108" t="str">
        <x:v>AN-019</x:v>
      </x:c>
      <x:c r="B23" s="109" t="n">
        <x:f>COUNTIF('אנמנזה'!$B$5:$B$93,A23)</x:f>
        <x:v>1</x:v>
      </x:c>
      <x:c r="C23" s="109" t="str">
        <x:v>תקין</x:v>
      </x:c>
      <x:c r="D23" s="109" t="str">
        <x:v>PE-019</x:v>
      </x:c>
      <x:c r="E23" s="109" t="n">
        <x:f>COUNTIF('בדיקה_גופנית'!$B$5:$B$49,D23)</x:f>
        <x:v>1</x:v>
      </x:c>
      <x:c r="F23" s="109" t="str">
        <x:v>תקין</x:v>
      </x:c>
      <x:c r="G23" s="109" t="str">
        <x:v>IT-019</x:v>
      </x:c>
      <x:c r="H23" s="109" t="n">
        <x:f>COUNTIF('בדיקות_מיידיות'!$B$5:$B$37,G23)</x:f>
        <x:v>1</x:v>
      </x:c>
      <x:c r="I23" s="109" t="str">
        <x:v>תקין</x:v>
      </x:c>
      <x:c r="J23" s="109"/>
      <x:c r="K23" s="109"/>
      <x:c r="L23" s="110"/>
    </x:row>
    <x:row r="24">
      <x:c r="A24" s="108" t="str">
        <x:v>AN-020</x:v>
      </x:c>
      <x:c r="B24" s="109" t="n">
        <x:f>COUNTIF('אנמנזה'!$B$5:$B$93,A24)</x:f>
        <x:v>1</x:v>
      </x:c>
      <x:c r="C24" s="109" t="str">
        <x:v>תקין</x:v>
      </x:c>
      <x:c r="D24" s="109" t="str">
        <x:v>PE-020</x:v>
      </x:c>
      <x:c r="E24" s="109" t="n">
        <x:f>COUNTIF('בדיקה_גופנית'!$B$5:$B$49,D24)</x:f>
        <x:v>1</x:v>
      </x:c>
      <x:c r="F24" s="109" t="str">
        <x:v>תקין</x:v>
      </x:c>
      <x:c r="G24" s="109" t="str">
        <x:v>IT-020</x:v>
      </x:c>
      <x:c r="H24" s="109" t="n">
        <x:f>COUNTIF('בדיקות_מיידיות'!$B$5:$B$37,G24)</x:f>
        <x:v>1</x:v>
      </x:c>
      <x:c r="I24" s="109" t="str">
        <x:v>תקין</x:v>
      </x:c>
      <x:c r="J24" s="109"/>
      <x:c r="K24" s="109"/>
      <x:c r="L24" s="110"/>
    </x:row>
    <x:row r="25">
      <x:c r="A25" s="108" t="str">
        <x:v>AN-021</x:v>
      </x:c>
      <x:c r="B25" s="109" t="n">
        <x:f>COUNTIF('אנמנזה'!$B$5:$B$93,A25)</x:f>
        <x:v>1</x:v>
      </x:c>
      <x:c r="C25" s="109" t="str">
        <x:v>תקין</x:v>
      </x:c>
      <x:c r="D25" s="109" t="str">
        <x:v>PE-021</x:v>
      </x:c>
      <x:c r="E25" s="109" t="n">
        <x:f>COUNTIF('בדיקה_גופנית'!$B$5:$B$49,D25)</x:f>
        <x:v>1</x:v>
      </x:c>
      <x:c r="F25" s="109" t="str">
        <x:v>תקין</x:v>
      </x:c>
      <x:c r="G25" s="109" t="str">
        <x:v>IT-021</x:v>
      </x:c>
      <x:c r="H25" s="109" t="n">
        <x:f>COUNTIF('בדיקות_מיידיות'!$B$5:$B$37,G25)</x:f>
        <x:v>1</x:v>
      </x:c>
      <x:c r="I25" s="109" t="str">
        <x:v>תקין</x:v>
      </x:c>
      <x:c r="J25" s="109"/>
      <x:c r="K25" s="109"/>
      <x:c r="L25" s="110"/>
    </x:row>
    <x:row r="26">
      <x:c r="A26" s="108" t="str">
        <x:v>AN-022</x:v>
      </x:c>
      <x:c r="B26" s="109" t="n">
        <x:f>COUNTIF('אנמנזה'!$B$5:$B$93,A26)</x:f>
        <x:v>1</x:v>
      </x:c>
      <x:c r="C26" s="109" t="str">
        <x:v>תקין</x:v>
      </x:c>
      <x:c r="D26" s="109" t="str">
        <x:v>PE-022</x:v>
      </x:c>
      <x:c r="E26" s="109" t="n">
        <x:f>COUNTIF('בדיקה_גופנית'!$B$5:$B$49,D26)</x:f>
        <x:v>1</x:v>
      </x:c>
      <x:c r="F26" s="109" t="str">
        <x:v>תקין</x:v>
      </x:c>
      <x:c r="G26" s="109" t="str">
        <x:v>IT-022</x:v>
      </x:c>
      <x:c r="H26" s="109" t="n">
        <x:f>COUNTIF('בדיקות_מיידיות'!$B$5:$B$37,G26)</x:f>
        <x:v>1</x:v>
      </x:c>
      <x:c r="I26" s="109" t="str">
        <x:v>תקין</x:v>
      </x:c>
      <x:c r="J26" s="109"/>
      <x:c r="K26" s="109"/>
      <x:c r="L26" s="110"/>
    </x:row>
    <x:row r="27">
      <x:c r="A27" s="108" t="str">
        <x:v>AN-023</x:v>
      </x:c>
      <x:c r="B27" s="109" t="n">
        <x:f>COUNTIF('אנמנזה'!$B$5:$B$93,A27)</x:f>
        <x:v>1</x:v>
      </x:c>
      <x:c r="C27" s="109" t="str">
        <x:v>תקין</x:v>
      </x:c>
      <x:c r="D27" s="109" t="str">
        <x:v>PE-023</x:v>
      </x:c>
      <x:c r="E27" s="109" t="n">
        <x:f>COUNTIF('בדיקה_גופנית'!$B$5:$B$49,D27)</x:f>
        <x:v>1</x:v>
      </x:c>
      <x:c r="F27" s="109" t="str">
        <x:v>תקין</x:v>
      </x:c>
      <x:c r="G27" s="109" t="str">
        <x:v>IT-023</x:v>
      </x:c>
      <x:c r="H27" s="109" t="n">
        <x:f>COUNTIF('בדיקות_מיידיות'!$B$5:$B$37,G27)</x:f>
        <x:v>1</x:v>
      </x:c>
      <x:c r="I27" s="109" t="str">
        <x:v>תקין</x:v>
      </x:c>
      <x:c r="J27" s="109"/>
      <x:c r="K27" s="109"/>
      <x:c r="L27" s="110"/>
    </x:row>
    <x:row r="28">
      <x:c r="A28" s="108" t="str">
        <x:v>AN-024</x:v>
      </x:c>
      <x:c r="B28" s="109" t="n">
        <x:f>COUNTIF('אנמנזה'!$B$5:$B$93,A28)</x:f>
        <x:v>1</x:v>
      </x:c>
      <x:c r="C28" s="109" t="str">
        <x:v>תקין</x:v>
      </x:c>
      <x:c r="D28" s="109" t="str">
        <x:v>PE-024</x:v>
      </x:c>
      <x:c r="E28" s="109" t="n">
        <x:f>COUNTIF('בדיקה_גופנית'!$B$5:$B$49,D28)</x:f>
        <x:v>1</x:v>
      </x:c>
      <x:c r="F28" s="109" t="str">
        <x:v>תקין</x:v>
      </x:c>
      <x:c r="G28" s="109" t="str">
        <x:v>IT-024</x:v>
      </x:c>
      <x:c r="H28" s="109" t="n">
        <x:f>COUNTIF('בדיקות_מיידיות'!$B$5:$B$37,G28)</x:f>
        <x:v>1</x:v>
      </x:c>
      <x:c r="I28" s="109" t="str">
        <x:v>תקין</x:v>
      </x:c>
      <x:c r="J28" s="109"/>
      <x:c r="K28" s="109"/>
      <x:c r="L28" s="110"/>
    </x:row>
    <x:row r="29">
      <x:c r="A29" s="108" t="str">
        <x:v>AN-025</x:v>
      </x:c>
      <x:c r="B29" s="109" t="n">
        <x:f>COUNTIF('אנמנזה'!$B$5:$B$93,A29)</x:f>
        <x:v>1</x:v>
      </x:c>
      <x:c r="C29" s="109" t="str">
        <x:v>תקין</x:v>
      </x:c>
      <x:c r="D29" s="109" t="str">
        <x:v>PE-025</x:v>
      </x:c>
      <x:c r="E29" s="109" t="n">
        <x:f>COUNTIF('בדיקה_גופנית'!$B$5:$B$49,D29)</x:f>
        <x:v>1</x:v>
      </x:c>
      <x:c r="F29" s="109" t="str">
        <x:v>תקין</x:v>
      </x:c>
      <x:c r="G29" s="109" t="str">
        <x:v>IT-025</x:v>
      </x:c>
      <x:c r="H29" s="109" t="n">
        <x:f>COUNTIF('בדיקות_מיידיות'!$B$5:$B$37,G29)</x:f>
        <x:v>1</x:v>
      </x:c>
      <x:c r="I29" s="109" t="str">
        <x:v>תקין</x:v>
      </x:c>
      <x:c r="J29" s="109"/>
      <x:c r="K29" s="109"/>
      <x:c r="L29" s="110"/>
    </x:row>
    <x:row r="30">
      <x:c r="A30" s="108" t="str">
        <x:v>AN-026</x:v>
      </x:c>
      <x:c r="B30" s="109" t="n">
        <x:f>COUNTIF('אנמנזה'!$B$5:$B$93,A30)</x:f>
        <x:v>1</x:v>
      </x:c>
      <x:c r="C30" s="109" t="str">
        <x:v>תקין</x:v>
      </x:c>
      <x:c r="D30" s="109" t="str">
        <x:v>PE-026</x:v>
      </x:c>
      <x:c r="E30" s="109" t="n">
        <x:f>COUNTIF('בדיקה_גופנית'!$B$5:$B$49,D30)</x:f>
        <x:v>1</x:v>
      </x:c>
      <x:c r="F30" s="109" t="str">
        <x:v>תקין</x:v>
      </x:c>
      <x:c r="G30" s="109" t="str">
        <x:v>IT-026</x:v>
      </x:c>
      <x:c r="H30" s="109" t="n">
        <x:f>COUNTIF('בדיקות_מיידיות'!$B$5:$B$37,G30)</x:f>
        <x:v>1</x:v>
      </x:c>
      <x:c r="I30" s="109" t="str">
        <x:v>תקין</x:v>
      </x:c>
      <x:c r="J30" s="109"/>
      <x:c r="K30" s="109"/>
      <x:c r="L30" s="110"/>
    </x:row>
    <x:row r="31">
      <x:c r="A31" s="108" t="str">
        <x:v>AN-027</x:v>
      </x:c>
      <x:c r="B31" s="109" t="n">
        <x:f>COUNTIF('אנמנזה'!$B$5:$B$93,A31)</x:f>
        <x:v>1</x:v>
      </x:c>
      <x:c r="C31" s="109" t="str">
        <x:v>תקין</x:v>
      </x:c>
      <x:c r="D31" s="109" t="str">
        <x:v>PE-027</x:v>
      </x:c>
      <x:c r="E31" s="109" t="n">
        <x:f>COUNTIF('בדיקה_גופנית'!$B$5:$B$49,D31)</x:f>
        <x:v>1</x:v>
      </x:c>
      <x:c r="F31" s="109" t="str">
        <x:v>תקין</x:v>
      </x:c>
      <x:c r="G31" s="109" t="str">
        <x:v>IT-027</x:v>
      </x:c>
      <x:c r="H31" s="109" t="n">
        <x:f>COUNTIF('בדיקות_מיידיות'!$B$5:$B$37,G31)</x:f>
        <x:v>1</x:v>
      </x:c>
      <x:c r="I31" s="109" t="str">
        <x:v>תקין</x:v>
      </x:c>
      <x:c r="J31" s="109"/>
      <x:c r="K31" s="109"/>
      <x:c r="L31" s="110"/>
    </x:row>
    <x:row r="32">
      <x:c r="A32" s="108" t="str">
        <x:v>AN-028</x:v>
      </x:c>
      <x:c r="B32" s="109" t="n">
        <x:f>COUNTIF('אנמנזה'!$B$5:$B$93,A32)</x:f>
        <x:v>1</x:v>
      </x:c>
      <x:c r="C32" s="109" t="str">
        <x:v>תקין</x:v>
      </x:c>
      <x:c r="D32" s="109" t="str">
        <x:v>PE-028</x:v>
      </x:c>
      <x:c r="E32" s="109" t="n">
        <x:f>COUNTIF('בדיקה_גופנית'!$B$5:$B$49,D32)</x:f>
        <x:v>1</x:v>
      </x:c>
      <x:c r="F32" s="109" t="str">
        <x:v>תקין</x:v>
      </x:c>
      <x:c r="G32" s="109" t="str">
        <x:v>IT-028</x:v>
      </x:c>
      <x:c r="H32" s="109" t="n">
        <x:f>COUNTIF('בדיקות_מיידיות'!$B$5:$B$37,G32)</x:f>
        <x:v>1</x:v>
      </x:c>
      <x:c r="I32" s="109" t="str">
        <x:v>תקין</x:v>
      </x:c>
      <x:c r="J32" s="109"/>
      <x:c r="K32" s="109"/>
      <x:c r="L32" s="110"/>
    </x:row>
    <x:row r="33">
      <x:c r="A33" s="108" t="str">
        <x:v>AN-029</x:v>
      </x:c>
      <x:c r="B33" s="109" t="n">
        <x:f>COUNTIF('אנמנזה'!$B$5:$B$93,A33)</x:f>
        <x:v>1</x:v>
      </x:c>
      <x:c r="C33" s="109" t="str">
        <x:v>תקין</x:v>
      </x:c>
      <x:c r="D33" s="109" t="str">
        <x:v>PE-029</x:v>
      </x:c>
      <x:c r="E33" s="109" t="n">
        <x:f>COUNTIF('בדיקה_גופנית'!$B$5:$B$49,D33)</x:f>
        <x:v>1</x:v>
      </x:c>
      <x:c r="F33" s="109" t="str">
        <x:v>תקין</x:v>
      </x:c>
      <x:c r="G33" s="109" t="str">
        <x:v>IT-029</x:v>
      </x:c>
      <x:c r="H33" s="109" t="n">
        <x:f>COUNTIF('בדיקות_מיידיות'!$B$5:$B$37,G33)</x:f>
        <x:v>1</x:v>
      </x:c>
      <x:c r="I33" s="109" t="str">
        <x:v>תקין</x:v>
      </x:c>
      <x:c r="J33" s="109"/>
      <x:c r="K33" s="109"/>
      <x:c r="L33" s="110"/>
    </x:row>
    <x:row r="34">
      <x:c r="A34" s="108" t="str">
        <x:v>AN-030</x:v>
      </x:c>
      <x:c r="B34" s="109" t="n">
        <x:f>COUNTIF('אנמנזה'!$B$5:$B$93,A34)</x:f>
        <x:v>1</x:v>
      </x:c>
      <x:c r="C34" s="109" t="str">
        <x:v>תקין</x:v>
      </x:c>
      <x:c r="D34" s="109" t="str">
        <x:v>PE-030</x:v>
      </x:c>
      <x:c r="E34" s="109" t="n">
        <x:f>COUNTIF('בדיקה_גופנית'!$B$5:$B$49,D34)</x:f>
        <x:v>1</x:v>
      </x:c>
      <x:c r="F34" s="109" t="str">
        <x:v>תקין</x:v>
      </x:c>
      <x:c r="G34" s="109" t="str">
        <x:v>IT-030</x:v>
      </x:c>
      <x:c r="H34" s="109" t="n">
        <x:f>COUNTIF('בדיקות_מיידיות'!$B$5:$B$37,G34)</x:f>
        <x:v>1</x:v>
      </x:c>
      <x:c r="I34" s="109" t="str">
        <x:v>תקין</x:v>
      </x:c>
      <x:c r="J34" s="109"/>
      <x:c r="K34" s="109"/>
      <x:c r="L34" s="110"/>
    </x:row>
    <x:row r="35">
      <x:c r="A35" s="108" t="str">
        <x:v>AN-031</x:v>
      </x:c>
      <x:c r="B35" s="109" t="n">
        <x:f>COUNTIF('אנמנזה'!$B$5:$B$93,A35)</x:f>
        <x:v>1</x:v>
      </x:c>
      <x:c r="C35" s="109" t="str">
        <x:v>תקין</x:v>
      </x:c>
      <x:c r="D35" s="109" t="str">
        <x:v>PE-031</x:v>
      </x:c>
      <x:c r="E35" s="109" t="n">
        <x:f>COUNTIF('בדיקה_גופנית'!$B$5:$B$49,D35)</x:f>
        <x:v>1</x:v>
      </x:c>
      <x:c r="F35" s="109" t="str">
        <x:v>תקין</x:v>
      </x:c>
      <x:c r="G35" s="109" t="str">
        <x:v>IT-031</x:v>
      </x:c>
      <x:c r="H35" s="109" t="n">
        <x:f>COUNTIF('בדיקות_מיידיות'!$B$5:$B$37,G35)</x:f>
        <x:v>1</x:v>
      </x:c>
      <x:c r="I35" s="109" t="str">
        <x:v>תקין</x:v>
      </x:c>
      <x:c r="J35" s="109"/>
      <x:c r="K35" s="109"/>
      <x:c r="L35" s="110"/>
    </x:row>
    <x:row r="36">
      <x:c r="A36" s="108" t="str">
        <x:v>AN-032</x:v>
      </x:c>
      <x:c r="B36" s="109" t="n">
        <x:f>COUNTIF('אנמנזה'!$B$5:$B$93,A36)</x:f>
        <x:v>1</x:v>
      </x:c>
      <x:c r="C36" s="109" t="str">
        <x:v>תקין</x:v>
      </x:c>
      <x:c r="D36" s="109" t="str">
        <x:v>PE-032</x:v>
      </x:c>
      <x:c r="E36" s="109" t="n">
        <x:f>COUNTIF('בדיקה_גופנית'!$B$5:$B$49,D36)</x:f>
        <x:v>1</x:v>
      </x:c>
      <x:c r="F36" s="109" t="str">
        <x:v>תקין</x:v>
      </x:c>
      <x:c r="G36" s="109" t="str">
        <x:v>IT-032</x:v>
      </x:c>
      <x:c r="H36" s="109" t="n">
        <x:f>COUNTIF('בדיקות_מיידיות'!$B$5:$B$37,G36)</x:f>
        <x:v>1</x:v>
      </x:c>
      <x:c r="I36" s="109" t="str">
        <x:v>תקין</x:v>
      </x:c>
      <x:c r="J36" s="109"/>
      <x:c r="K36" s="109"/>
      <x:c r="L36" s="110"/>
    </x:row>
    <x:row r="37">
      <x:c r="A37" s="108" t="str">
        <x:v>AN-033</x:v>
      </x:c>
      <x:c r="B37" s="109" t="n">
        <x:f>COUNTIF('אנמנזה'!$B$5:$B$93,A37)</x:f>
        <x:v>1</x:v>
      </x:c>
      <x:c r="C37" s="109" t="str">
        <x:v>תקין</x:v>
      </x:c>
      <x:c r="D37" s="109" t="str">
        <x:v>PE-033</x:v>
      </x:c>
      <x:c r="E37" s="109" t="n">
        <x:f>COUNTIF('בדיקה_גופנית'!$B$5:$B$49,D37)</x:f>
        <x:v>1</x:v>
      </x:c>
      <x:c r="F37" s="109" t="str">
        <x:v>תקין</x:v>
      </x:c>
      <x:c r="G37" s="109" t="str">
        <x:v>IT-033</x:v>
      </x:c>
      <x:c r="H37" s="109" t="n">
        <x:f>COUNTIF('בדיקות_מיידיות'!$B$5:$B$37,G37)</x:f>
        <x:v>1</x:v>
      </x:c>
      <x:c r="I37" s="109" t="str">
        <x:v>תקין</x:v>
      </x:c>
      <x:c r="J37" s="109"/>
      <x:c r="K37" s="109"/>
      <x:c r="L37" s="110"/>
    </x:row>
    <x:row r="38">
      <x:c r="A38" s="108" t="str">
        <x:v>AN-034</x:v>
      </x:c>
      <x:c r="B38" s="109" t="n">
        <x:f>COUNTIF('אנמנזה'!$B$5:$B$93,A38)</x:f>
        <x:v>1</x:v>
      </x:c>
      <x:c r="C38" s="109" t="str">
        <x:v>תקין</x:v>
      </x:c>
      <x:c r="D38" s="109" t="str">
        <x:v>PE-034</x:v>
      </x:c>
      <x:c r="E38" s="109" t="n">
        <x:f>COUNTIF('בדיקה_גופנית'!$B$5:$B$49,D38)</x:f>
        <x:v>1</x:v>
      </x:c>
      <x:c r="F38" s="109" t="str">
        <x:v>תקין</x:v>
      </x:c>
      <x:c r="G38" s="109"/>
      <x:c r="H38" s="109"/>
      <x:c r="I38" s="109"/>
      <x:c r="J38" s="109"/>
      <x:c r="K38" s="109"/>
      <x:c r="L38" s="110"/>
    </x:row>
    <x:row r="39">
      <x:c r="A39" s="108" t="str">
        <x:v>AN-035</x:v>
      </x:c>
      <x:c r="B39" s="109" t="n">
        <x:f>COUNTIF('אנמנזה'!$B$5:$B$93,A39)</x:f>
        <x:v>1</x:v>
      </x:c>
      <x:c r="C39" s="109" t="str">
        <x:v>תקין</x:v>
      </x:c>
      <x:c r="D39" s="109" t="str">
        <x:v>PE-035</x:v>
      </x:c>
      <x:c r="E39" s="109" t="n">
        <x:f>COUNTIF('בדיקה_גופנית'!$B$5:$B$49,D39)</x:f>
        <x:v>1</x:v>
      </x:c>
      <x:c r="F39" s="109" t="str">
        <x:v>תקין</x:v>
      </x:c>
      <x:c r="G39" s="109"/>
      <x:c r="H39" s="109"/>
      <x:c r="I39" s="109"/>
      <x:c r="J39" s="109"/>
      <x:c r="K39" s="109"/>
      <x:c r="L39" s="110"/>
    </x:row>
    <x:row r="40">
      <x:c r="A40" s="108" t="str">
        <x:v>AN-036</x:v>
      </x:c>
      <x:c r="B40" s="109" t="n">
        <x:f>COUNTIF('אנמנזה'!$B$5:$B$93,A40)</x:f>
        <x:v>1</x:v>
      </x:c>
      <x:c r="C40" s="109" t="str">
        <x:v>תקין</x:v>
      </x:c>
      <x:c r="D40" s="109" t="str">
        <x:v>PE-036</x:v>
      </x:c>
      <x:c r="E40" s="109" t="n">
        <x:f>COUNTIF('בדיקה_גופנית'!$B$5:$B$49,D40)</x:f>
        <x:v>1</x:v>
      </x:c>
      <x:c r="F40" s="109" t="str">
        <x:v>תקין</x:v>
      </x:c>
      <x:c r="G40" s="109"/>
      <x:c r="H40" s="109"/>
      <x:c r="I40" s="109"/>
      <x:c r="J40" s="109"/>
      <x:c r="K40" s="109"/>
      <x:c r="L40" s="110"/>
    </x:row>
    <x:row r="41">
      <x:c r="A41" s="108" t="str">
        <x:v>AN-037</x:v>
      </x:c>
      <x:c r="B41" s="109" t="n">
        <x:f>COUNTIF('אנמנזה'!$B$5:$B$93,A41)</x:f>
        <x:v>1</x:v>
      </x:c>
      <x:c r="C41" s="109" t="str">
        <x:v>תקין</x:v>
      </x:c>
      <x:c r="D41" s="109" t="str">
        <x:v>PE-037</x:v>
      </x:c>
      <x:c r="E41" s="109" t="n">
        <x:f>COUNTIF('בדיקה_גופנית'!$B$5:$B$49,D41)</x:f>
        <x:v>1</x:v>
      </x:c>
      <x:c r="F41" s="109" t="str">
        <x:v>תקין</x:v>
      </x:c>
      <x:c r="G41" s="109"/>
      <x:c r="H41" s="109"/>
      <x:c r="I41" s="109"/>
      <x:c r="J41" s="109"/>
      <x:c r="K41" s="109"/>
      <x:c r="L41" s="110"/>
    </x:row>
    <x:row r="42">
      <x:c r="A42" s="108" t="str">
        <x:v>AN-038</x:v>
      </x:c>
      <x:c r="B42" s="109" t="n">
        <x:f>COUNTIF('אנמנזה'!$B$5:$B$93,A42)</x:f>
        <x:v>1</x:v>
      </x:c>
      <x:c r="C42" s="109" t="str">
        <x:v>תקין</x:v>
      </x:c>
      <x:c r="D42" s="109" t="str">
        <x:v>PE-038</x:v>
      </x:c>
      <x:c r="E42" s="109" t="n">
        <x:f>COUNTIF('בדיקה_גופנית'!$B$5:$B$49,D42)</x:f>
        <x:v>1</x:v>
      </x:c>
      <x:c r="F42" s="109" t="str">
        <x:v>תקין</x:v>
      </x:c>
      <x:c r="G42" s="109"/>
      <x:c r="H42" s="109"/>
      <x:c r="I42" s="109"/>
      <x:c r="J42" s="109"/>
      <x:c r="K42" s="109"/>
      <x:c r="L42" s="110"/>
    </x:row>
    <x:row r="43">
      <x:c r="A43" s="108" t="str">
        <x:v>AN-039</x:v>
      </x:c>
      <x:c r="B43" s="109" t="n">
        <x:f>COUNTIF('אנמנזה'!$B$5:$B$93,A43)</x:f>
        <x:v>1</x:v>
      </x:c>
      <x:c r="C43" s="109" t="str">
        <x:v>תקין</x:v>
      </x:c>
      <x:c r="D43" s="109" t="str">
        <x:v>PE-039</x:v>
      </x:c>
      <x:c r="E43" s="109" t="n">
        <x:f>COUNTIF('בדיקה_גופנית'!$B$5:$B$49,D43)</x:f>
        <x:v>1</x:v>
      </x:c>
      <x:c r="F43" s="109" t="str">
        <x:v>תקין</x:v>
      </x:c>
      <x:c r="G43" s="109"/>
      <x:c r="H43" s="109"/>
      <x:c r="I43" s="109"/>
      <x:c r="J43" s="109"/>
      <x:c r="K43" s="109"/>
      <x:c r="L43" s="110"/>
    </x:row>
    <x:row r="44">
      <x:c r="A44" s="108" t="str">
        <x:v>AN-040</x:v>
      </x:c>
      <x:c r="B44" s="109" t="n">
        <x:f>COUNTIF('אנמנזה'!$B$5:$B$93,A44)</x:f>
        <x:v>1</x:v>
      </x:c>
      <x:c r="C44" s="109" t="str">
        <x:v>תקין</x:v>
      </x:c>
      <x:c r="D44" s="109" t="str">
        <x:v>PE-040</x:v>
      </x:c>
      <x:c r="E44" s="109" t="n">
        <x:f>COUNTIF('בדיקה_גופנית'!$B$5:$B$49,D44)</x:f>
        <x:v>1</x:v>
      </x:c>
      <x:c r="F44" s="109" t="str">
        <x:v>תקין</x:v>
      </x:c>
      <x:c r="G44" s="109"/>
      <x:c r="H44" s="109"/>
      <x:c r="I44" s="109"/>
      <x:c r="J44" s="109"/>
      <x:c r="K44" s="109"/>
      <x:c r="L44" s="110"/>
    </x:row>
    <x:row r="45">
      <x:c r="A45" s="108" t="str">
        <x:v>AN-041</x:v>
      </x:c>
      <x:c r="B45" s="109" t="n">
        <x:f>COUNTIF('אנמנזה'!$B$5:$B$93,A45)</x:f>
        <x:v>1</x:v>
      </x:c>
      <x:c r="C45" s="109" t="str">
        <x:v>תקין</x:v>
      </x:c>
      <x:c r="D45" s="109" t="str">
        <x:v>PE-041</x:v>
      </x:c>
      <x:c r="E45" s="109" t="n">
        <x:f>COUNTIF('בדיקה_גופנית'!$B$5:$B$49,D45)</x:f>
        <x:v>1</x:v>
      </x:c>
      <x:c r="F45" s="109" t="str">
        <x:v>תקין</x:v>
      </x:c>
      <x:c r="G45" s="109"/>
      <x:c r="H45" s="109"/>
      <x:c r="I45" s="109"/>
      <x:c r="J45" s="109"/>
      <x:c r="K45" s="109"/>
      <x:c r="L45" s="110"/>
    </x:row>
    <x:row r="46">
      <x:c r="A46" s="108" t="str">
        <x:v>AN-042</x:v>
      </x:c>
      <x:c r="B46" s="109" t="n">
        <x:f>COUNTIF('אנמנזה'!$B$5:$B$93,A46)</x:f>
        <x:v>1</x:v>
      </x:c>
      <x:c r="C46" s="109" t="str">
        <x:v>תקין</x:v>
      </x:c>
      <x:c r="D46" s="109" t="str">
        <x:v>PE-042</x:v>
      </x:c>
      <x:c r="E46" s="109" t="n">
        <x:f>COUNTIF('בדיקה_גופנית'!$B$5:$B$49,D46)</x:f>
        <x:v>1</x:v>
      </x:c>
      <x:c r="F46" s="109" t="str">
        <x:v>תקין</x:v>
      </x:c>
      <x:c r="G46" s="109"/>
      <x:c r="H46" s="109"/>
      <x:c r="I46" s="109"/>
      <x:c r="J46" s="109"/>
      <x:c r="K46" s="109"/>
      <x:c r="L46" s="110"/>
    </x:row>
    <x:row r="47">
      <x:c r="A47" s="108" t="str">
        <x:v>AN-043</x:v>
      </x:c>
      <x:c r="B47" s="109" t="n">
        <x:f>COUNTIF('אנמנזה'!$B$5:$B$93,A47)</x:f>
        <x:v>1</x:v>
      </x:c>
      <x:c r="C47" s="109" t="str">
        <x:v>תקין</x:v>
      </x:c>
      <x:c r="D47" s="109" t="str">
        <x:v>PE-043</x:v>
      </x:c>
      <x:c r="E47" s="109" t="n">
        <x:f>COUNTIF('בדיקה_גופנית'!$B$5:$B$49,D47)</x:f>
        <x:v>1</x:v>
      </x:c>
      <x:c r="F47" s="109" t="str">
        <x:v>תקין</x:v>
      </x:c>
      <x:c r="G47" s="109"/>
      <x:c r="H47" s="109"/>
      <x:c r="I47" s="109"/>
      <x:c r="J47" s="109"/>
      <x:c r="K47" s="109"/>
      <x:c r="L47" s="110"/>
    </x:row>
    <x:row r="48">
      <x:c r="A48" s="108" t="str">
        <x:v>AN-044</x:v>
      </x:c>
      <x:c r="B48" s="109" t="n">
        <x:f>COUNTIF('אנמנזה'!$B$5:$B$93,A48)</x:f>
        <x:v>1</x:v>
      </x:c>
      <x:c r="C48" s="109" t="str">
        <x:v>תקין</x:v>
      </x:c>
      <x:c r="D48" s="109" t="str">
        <x:v>PE-044</x:v>
      </x:c>
      <x:c r="E48" s="109" t="n">
        <x:f>COUNTIF('בדיקה_גופנית'!$B$5:$B$49,D48)</x:f>
        <x:v>1</x:v>
      </x:c>
      <x:c r="F48" s="109" t="str">
        <x:v>תקין</x:v>
      </x:c>
      <x:c r="G48" s="109"/>
      <x:c r="H48" s="109"/>
      <x:c r="I48" s="109"/>
      <x:c r="J48" s="109"/>
      <x:c r="K48" s="109"/>
      <x:c r="L48" s="110"/>
    </x:row>
    <x:row r="49">
      <x:c r="A49" s="108" t="str">
        <x:v>AN-045</x:v>
      </x:c>
      <x:c r="B49" s="109" t="n">
        <x:f>COUNTIF('אנמנזה'!$B$5:$B$93,A49)</x:f>
        <x:v>1</x:v>
      </x:c>
      <x:c r="C49" s="109" t="str">
        <x:v>תקין</x:v>
      </x:c>
      <x:c r="D49" s="109" t="str">
        <x:v>PE-045</x:v>
      </x:c>
      <x:c r="E49" s="109" t="n">
        <x:f>COUNTIF('בדיקה_גופנית'!$B$5:$B$49,D49)</x:f>
        <x:v>1</x:v>
      </x:c>
      <x:c r="F49" s="109" t="str">
        <x:v>תקין</x:v>
      </x:c>
      <x:c r="G49" s="109"/>
      <x:c r="H49" s="109"/>
      <x:c r="I49" s="109"/>
      <x:c r="J49" s="109"/>
      <x:c r="K49" s="109"/>
      <x:c r="L49" s="110"/>
    </x:row>
    <x:row r="50">
      <x:c r="A50" s="108" t="str">
        <x:v>AN-046</x:v>
      </x:c>
      <x:c r="B50" s="109" t="n">
        <x:f>COUNTIF('אנמנזה'!$B$5:$B$93,A50)</x:f>
        <x:v>1</x:v>
      </x:c>
      <x:c r="C50" s="109" t="str">
        <x:v>תקין</x:v>
      </x:c>
      <x:c r="D50" s="109"/>
      <x:c r="E50" s="109"/>
      <x:c r="F50" s="109"/>
      <x:c r="G50" s="109"/>
      <x:c r="H50" s="109"/>
      <x:c r="I50" s="109"/>
      <x:c r="J50" s="109"/>
      <x:c r="K50" s="109"/>
      <x:c r="L50" s="110"/>
    </x:row>
    <x:row r="51">
      <x:c r="A51" s="108" t="str">
        <x:v>AN-047</x:v>
      </x:c>
      <x:c r="B51" s="109" t="n">
        <x:f>COUNTIF('אנמנזה'!$B$5:$B$93,A51)</x:f>
        <x:v>1</x:v>
      </x:c>
      <x:c r="C51" s="109" t="str">
        <x:v>תקין</x:v>
      </x:c>
      <x:c r="D51" s="109"/>
      <x:c r="E51" s="109"/>
      <x:c r="F51" s="109"/>
      <x:c r="G51" s="109"/>
      <x:c r="H51" s="109"/>
      <x:c r="I51" s="109"/>
      <x:c r="J51" s="109"/>
      <x:c r="K51" s="109"/>
      <x:c r="L51" s="110"/>
    </x:row>
    <x:row r="52">
      <x:c r="A52" s="108" t="str">
        <x:v>AN-048</x:v>
      </x:c>
      <x:c r="B52" s="109" t="n">
        <x:f>COUNTIF('אנמנזה'!$B$5:$B$93,A52)</x:f>
        <x:v>1</x:v>
      </x:c>
      <x:c r="C52" s="109" t="str">
        <x:v>תקין</x:v>
      </x:c>
      <x:c r="D52" s="109"/>
      <x:c r="E52" s="109"/>
      <x:c r="F52" s="109"/>
      <x:c r="G52" s="109"/>
      <x:c r="H52" s="109"/>
      <x:c r="I52" s="109"/>
      <x:c r="J52" s="109"/>
      <x:c r="K52" s="109"/>
      <x:c r="L52" s="110"/>
    </x:row>
    <x:row r="53">
      <x:c r="A53" s="108" t="str">
        <x:v>AN-049</x:v>
      </x:c>
      <x:c r="B53" s="109" t="n">
        <x:f>COUNTIF('אנמנזה'!$B$5:$B$93,A53)</x:f>
        <x:v>1</x:v>
      </x:c>
      <x:c r="C53" s="109" t="str">
        <x:v>תקין</x:v>
      </x:c>
      <x:c r="D53" s="109"/>
      <x:c r="E53" s="109"/>
      <x:c r="F53" s="109"/>
      <x:c r="G53" s="109"/>
      <x:c r="H53" s="109"/>
      <x:c r="I53" s="109"/>
      <x:c r="J53" s="109"/>
      <x:c r="K53" s="109"/>
      <x:c r="L53" s="110"/>
    </x:row>
    <x:row r="54">
      <x:c r="A54" s="108" t="str">
        <x:v>AN-050</x:v>
      </x:c>
      <x:c r="B54" s="109" t="n">
        <x:f>COUNTIF('אנמנזה'!$B$5:$B$93,A54)</x:f>
        <x:v>1</x:v>
      </x:c>
      <x:c r="C54" s="109" t="str">
        <x:v>תקין</x:v>
      </x:c>
      <x:c r="D54" s="109"/>
      <x:c r="E54" s="109"/>
      <x:c r="F54" s="109"/>
      <x:c r="G54" s="109"/>
      <x:c r="H54" s="109"/>
      <x:c r="I54" s="109"/>
      <x:c r="J54" s="109"/>
      <x:c r="K54" s="109"/>
      <x:c r="L54" s="110"/>
    </x:row>
    <x:row r="55">
      <x:c r="A55" s="108" t="str">
        <x:v>AN-051</x:v>
      </x:c>
      <x:c r="B55" s="109" t="n">
        <x:f>COUNTIF('אנמנזה'!$B$5:$B$93,A55)</x:f>
        <x:v>1</x:v>
      </x:c>
      <x:c r="C55" s="109" t="str">
        <x:v>תקין</x:v>
      </x:c>
      <x:c r="D55" s="109"/>
      <x:c r="E55" s="109"/>
      <x:c r="F55" s="109"/>
      <x:c r="G55" s="109"/>
      <x:c r="H55" s="109"/>
      <x:c r="I55" s="109"/>
      <x:c r="J55" s="109"/>
      <x:c r="K55" s="109"/>
      <x:c r="L55" s="110"/>
    </x:row>
    <x:row r="56">
      <x:c r="A56" s="108" t="str">
        <x:v>AN-052</x:v>
      </x:c>
      <x:c r="B56" s="109" t="n">
        <x:f>COUNTIF('אנמנזה'!$B$5:$B$93,A56)</x:f>
        <x:v>1</x:v>
      </x:c>
      <x:c r="C56" s="109" t="str">
        <x:v>תקין</x:v>
      </x:c>
      <x:c r="D56" s="109"/>
      <x:c r="E56" s="109"/>
      <x:c r="F56" s="109"/>
      <x:c r="G56" s="109"/>
      <x:c r="H56" s="109"/>
      <x:c r="I56" s="109"/>
      <x:c r="J56" s="109"/>
      <x:c r="K56" s="109"/>
      <x:c r="L56" s="110"/>
    </x:row>
    <x:row r="57">
      <x:c r="A57" s="108" t="str">
        <x:v>AN-053</x:v>
      </x:c>
      <x:c r="B57" s="109" t="n">
        <x:f>COUNTIF('אנמנזה'!$B$5:$B$93,A57)</x:f>
        <x:v>1</x:v>
      </x:c>
      <x:c r="C57" s="109" t="str">
        <x:v>תקין</x:v>
      </x:c>
      <x:c r="D57" s="109"/>
      <x:c r="E57" s="109"/>
      <x:c r="F57" s="109"/>
      <x:c r="G57" s="109"/>
      <x:c r="H57" s="109"/>
      <x:c r="I57" s="109"/>
      <x:c r="J57" s="109"/>
      <x:c r="K57" s="109"/>
      <x:c r="L57" s="110"/>
    </x:row>
    <x:row r="58">
      <x:c r="A58" s="108" t="str">
        <x:v>AN-054</x:v>
      </x:c>
      <x:c r="B58" s="109" t="n">
        <x:f>COUNTIF('אנמנזה'!$B$5:$B$93,A58)</x:f>
        <x:v>1</x:v>
      </x:c>
      <x:c r="C58" s="109" t="str">
        <x:v>תקין</x:v>
      </x:c>
      <x:c r="D58" s="109"/>
      <x:c r="E58" s="109"/>
      <x:c r="F58" s="109"/>
      <x:c r="G58" s="109"/>
      <x:c r="H58" s="109"/>
      <x:c r="I58" s="109"/>
      <x:c r="J58" s="109"/>
      <x:c r="K58" s="109"/>
      <x:c r="L58" s="110"/>
    </x:row>
    <x:row r="59">
      <x:c r="A59" s="108" t="str">
        <x:v>AN-055</x:v>
      </x:c>
      <x:c r="B59" s="109" t="n">
        <x:f>COUNTIF('אנמנזה'!$B$5:$B$93,A59)</x:f>
        <x:v>1</x:v>
      </x:c>
      <x:c r="C59" s="109" t="str">
        <x:v>תקין</x:v>
      </x:c>
      <x:c r="D59" s="109"/>
      <x:c r="E59" s="109"/>
      <x:c r="F59" s="109"/>
      <x:c r="G59" s="109"/>
      <x:c r="H59" s="109"/>
      <x:c r="I59" s="109"/>
      <x:c r="J59" s="109"/>
      <x:c r="K59" s="109"/>
      <x:c r="L59" s="110"/>
    </x:row>
    <x:row r="60">
      <x:c r="A60" s="108" t="str">
        <x:v>AN-056</x:v>
      </x:c>
      <x:c r="B60" s="109" t="n">
        <x:f>COUNTIF('אנמנזה'!$B$5:$B$93,A60)</x:f>
        <x:v>1</x:v>
      </x:c>
      <x:c r="C60" s="109" t="str">
        <x:v>תקין</x:v>
      </x:c>
      <x:c r="D60" s="109"/>
      <x:c r="E60" s="109"/>
      <x:c r="F60" s="109"/>
      <x:c r="G60" s="109"/>
      <x:c r="H60" s="109"/>
      <x:c r="I60" s="109"/>
      <x:c r="J60" s="109"/>
      <x:c r="K60" s="109"/>
      <x:c r="L60" s="110"/>
    </x:row>
    <x:row r="61">
      <x:c r="A61" s="108" t="str">
        <x:v>AN-057</x:v>
      </x:c>
      <x:c r="B61" s="109" t="n">
        <x:f>COUNTIF('אנמנזה'!$B$5:$B$93,A61)</x:f>
        <x:v>1</x:v>
      </x:c>
      <x:c r="C61" s="109" t="str">
        <x:v>תקין</x:v>
      </x:c>
      <x:c r="D61" s="109"/>
      <x:c r="E61" s="109"/>
      <x:c r="F61" s="109"/>
      <x:c r="G61" s="109"/>
      <x:c r="H61" s="109"/>
      <x:c r="I61" s="109"/>
      <x:c r="J61" s="109"/>
      <x:c r="K61" s="109"/>
      <x:c r="L61" s="110"/>
    </x:row>
    <x:row r="62">
      <x:c r="A62" s="108" t="str">
        <x:v>AN-058</x:v>
      </x:c>
      <x:c r="B62" s="109" t="n">
        <x:f>COUNTIF('אנמנזה'!$B$5:$B$93,A62)</x:f>
        <x:v>1</x:v>
      </x:c>
      <x:c r="C62" s="109" t="str">
        <x:v>תקין</x:v>
      </x:c>
      <x:c r="D62" s="109"/>
      <x:c r="E62" s="109"/>
      <x:c r="F62" s="109"/>
      <x:c r="G62" s="109"/>
      <x:c r="H62" s="109"/>
      <x:c r="I62" s="109"/>
      <x:c r="J62" s="109"/>
      <x:c r="K62" s="109"/>
      <x:c r="L62" s="110"/>
    </x:row>
    <x:row r="63">
      <x:c r="A63" s="108" t="str">
        <x:v>AN-059</x:v>
      </x:c>
      <x:c r="B63" s="109" t="n">
        <x:f>COUNTIF('אנמנזה'!$B$5:$B$93,A63)</x:f>
        <x:v>1</x:v>
      </x:c>
      <x:c r="C63" s="109" t="str">
        <x:v>תקין</x:v>
      </x:c>
      <x:c r="D63" s="109"/>
      <x:c r="E63" s="109"/>
      <x:c r="F63" s="109"/>
      <x:c r="G63" s="109"/>
      <x:c r="H63" s="109"/>
      <x:c r="I63" s="109"/>
      <x:c r="J63" s="109"/>
      <x:c r="K63" s="109"/>
      <x:c r="L63" s="110"/>
    </x:row>
    <x:row r="64">
      <x:c r="A64" s="108" t="str">
        <x:v>AN-060</x:v>
      </x:c>
      <x:c r="B64" s="109" t="n">
        <x:f>COUNTIF('אנמנזה'!$B$5:$B$93,A64)</x:f>
        <x:v>1</x:v>
      </x:c>
      <x:c r="C64" s="109" t="str">
        <x:v>תקין</x:v>
      </x:c>
      <x:c r="D64" s="109"/>
      <x:c r="E64" s="109"/>
      <x:c r="F64" s="109"/>
      <x:c r="G64" s="109"/>
      <x:c r="H64" s="109"/>
      <x:c r="I64" s="109"/>
      <x:c r="J64" s="109"/>
      <x:c r="K64" s="109"/>
      <x:c r="L64" s="110"/>
    </x:row>
    <x:row r="65">
      <x:c r="A65" s="108" t="str">
        <x:v>AN-061</x:v>
      </x:c>
      <x:c r="B65" s="109" t="n">
        <x:f>COUNTIF('אנמנזה'!$B$5:$B$93,A65)</x:f>
        <x:v>1</x:v>
      </x:c>
      <x:c r="C65" s="109" t="str">
        <x:v>תקין</x:v>
      </x:c>
      <x:c r="D65" s="109"/>
      <x:c r="E65" s="109"/>
      <x:c r="F65" s="109"/>
      <x:c r="G65" s="109"/>
      <x:c r="H65" s="109"/>
      <x:c r="I65" s="109"/>
      <x:c r="J65" s="109"/>
      <x:c r="K65" s="109"/>
      <x:c r="L65" s="110"/>
    </x:row>
    <x:row r="66">
      <x:c r="A66" s="108" t="str">
        <x:v>AN-062</x:v>
      </x:c>
      <x:c r="B66" s="109" t="n">
        <x:f>COUNTIF('אנמנזה'!$B$5:$B$93,A66)</x:f>
        <x:v>1</x:v>
      </x:c>
      <x:c r="C66" s="109" t="str">
        <x:v>תקין</x:v>
      </x:c>
      <x:c r="D66" s="109"/>
      <x:c r="E66" s="109"/>
      <x:c r="F66" s="109"/>
      <x:c r="G66" s="109"/>
      <x:c r="H66" s="109"/>
      <x:c r="I66" s="109"/>
      <x:c r="J66" s="109"/>
      <x:c r="K66" s="109"/>
      <x:c r="L66" s="110"/>
    </x:row>
    <x:row r="67">
      <x:c r="A67" s="108" t="str">
        <x:v>AN-063</x:v>
      </x:c>
      <x:c r="B67" s="109" t="n">
        <x:f>COUNTIF('אנמנזה'!$B$5:$B$93,A67)</x:f>
        <x:v>1</x:v>
      </x:c>
      <x:c r="C67" s="109" t="str">
        <x:v>תקין</x:v>
      </x:c>
      <x:c r="D67" s="109"/>
      <x:c r="E67" s="109"/>
      <x:c r="F67" s="109"/>
      <x:c r="G67" s="109"/>
      <x:c r="H67" s="109"/>
      <x:c r="I67" s="109"/>
      <x:c r="J67" s="109"/>
      <x:c r="K67" s="109"/>
      <x:c r="L67" s="110"/>
    </x:row>
    <x:row r="68">
      <x:c r="A68" s="108" t="str">
        <x:v>AN-064</x:v>
      </x:c>
      <x:c r="B68" s="109" t="n">
        <x:f>COUNTIF('אנמנזה'!$B$5:$B$93,A68)</x:f>
        <x:v>1</x:v>
      </x:c>
      <x:c r="C68" s="109" t="str">
        <x:v>תקין</x:v>
      </x:c>
      <x:c r="D68" s="109"/>
      <x:c r="E68" s="109"/>
      <x:c r="F68" s="109"/>
      <x:c r="G68" s="109"/>
      <x:c r="H68" s="109"/>
      <x:c r="I68" s="109"/>
      <x:c r="J68" s="109"/>
      <x:c r="K68" s="109"/>
      <x:c r="L68" s="110"/>
    </x:row>
    <x:row r="69">
      <x:c r="A69" s="108" t="str">
        <x:v>AN-065</x:v>
      </x:c>
      <x:c r="B69" s="109" t="n">
        <x:f>COUNTIF('אנמנזה'!$B$5:$B$93,A69)</x:f>
        <x:v>1</x:v>
      </x:c>
      <x:c r="C69" s="109" t="str">
        <x:v>תקין</x:v>
      </x:c>
      <x:c r="D69" s="109"/>
      <x:c r="E69" s="109"/>
      <x:c r="F69" s="109"/>
      <x:c r="G69" s="109"/>
      <x:c r="H69" s="109"/>
      <x:c r="I69" s="109"/>
      <x:c r="J69" s="109"/>
      <x:c r="K69" s="109"/>
      <x:c r="L69" s="110"/>
    </x:row>
    <x:row r="70">
      <x:c r="A70" s="108" t="str">
        <x:v>AN-066</x:v>
      </x:c>
      <x:c r="B70" s="109" t="n">
        <x:f>COUNTIF('אנמנזה'!$B$5:$B$93,A70)</x:f>
        <x:v>1</x:v>
      </x:c>
      <x:c r="C70" s="109" t="str">
        <x:v>תקין</x:v>
      </x:c>
      <x:c r="D70" s="109"/>
      <x:c r="E70" s="109"/>
      <x:c r="F70" s="109"/>
      <x:c r="G70" s="109"/>
      <x:c r="H70" s="109"/>
      <x:c r="I70" s="109"/>
      <x:c r="J70" s="109"/>
      <x:c r="K70" s="109"/>
      <x:c r="L70" s="110"/>
    </x:row>
    <x:row r="71">
      <x:c r="A71" s="108" t="str">
        <x:v>AN-067</x:v>
      </x:c>
      <x:c r="B71" s="109" t="n">
        <x:f>COUNTIF('אנמנזה'!$B$5:$B$93,A71)</x:f>
        <x:v>1</x:v>
      </x:c>
      <x:c r="C71" s="109" t="str">
        <x:v>תקין</x:v>
      </x:c>
      <x:c r="D71" s="109"/>
      <x:c r="E71" s="109"/>
      <x:c r="F71" s="109"/>
      <x:c r="G71" s="109"/>
      <x:c r="H71" s="109"/>
      <x:c r="I71" s="109"/>
      <x:c r="J71" s="109"/>
      <x:c r="K71" s="109"/>
      <x:c r="L71" s="110"/>
    </x:row>
    <x:row r="72">
      <x:c r="A72" s="108" t="str">
        <x:v>AN-068</x:v>
      </x:c>
      <x:c r="B72" s="109" t="n">
        <x:f>COUNTIF('אנמנזה'!$B$5:$B$93,A72)</x:f>
        <x:v>1</x:v>
      </x:c>
      <x:c r="C72" s="109" t="str">
        <x:v>תקין</x:v>
      </x:c>
      <x:c r="D72" s="109"/>
      <x:c r="E72" s="109"/>
      <x:c r="F72" s="109"/>
      <x:c r="G72" s="109"/>
      <x:c r="H72" s="109"/>
      <x:c r="I72" s="109"/>
      <x:c r="J72" s="109"/>
      <x:c r="K72" s="109"/>
      <x:c r="L72" s="110"/>
    </x:row>
    <x:row r="73">
      <x:c r="A73" s="108" t="str">
        <x:v>AN-069</x:v>
      </x:c>
      <x:c r="B73" s="109" t="n">
        <x:f>COUNTIF('אנמנזה'!$B$5:$B$93,A73)</x:f>
        <x:v>1</x:v>
      </x:c>
      <x:c r="C73" s="109" t="str">
        <x:v>תקין</x:v>
      </x:c>
      <x:c r="D73" s="109"/>
      <x:c r="E73" s="109"/>
      <x:c r="F73" s="109"/>
      <x:c r="G73" s="109"/>
      <x:c r="H73" s="109"/>
      <x:c r="I73" s="109"/>
      <x:c r="J73" s="109"/>
      <x:c r="K73" s="109"/>
      <x:c r="L73" s="110"/>
    </x:row>
    <x:row r="74">
      <x:c r="A74" s="108" t="str">
        <x:v>AN-070</x:v>
      </x:c>
      <x:c r="B74" s="109" t="n">
        <x:f>COUNTIF('אנמנזה'!$B$5:$B$93,A74)</x:f>
        <x:v>1</x:v>
      </x:c>
      <x:c r="C74" s="109" t="str">
        <x:v>תקין</x:v>
      </x:c>
      <x:c r="D74" s="109"/>
      <x:c r="E74" s="109"/>
      <x:c r="F74" s="109"/>
      <x:c r="G74" s="109"/>
      <x:c r="H74" s="109"/>
      <x:c r="I74" s="109"/>
      <x:c r="J74" s="109"/>
      <x:c r="K74" s="109"/>
      <x:c r="L74" s="110"/>
    </x:row>
    <x:row r="75">
      <x:c r="A75" s="108" t="str">
        <x:v>AN-071</x:v>
      </x:c>
      <x:c r="B75" s="109" t="n">
        <x:f>COUNTIF('אנמנזה'!$B$5:$B$93,A75)</x:f>
        <x:v>1</x:v>
      </x:c>
      <x:c r="C75" s="109" t="str">
        <x:v>תקין</x:v>
      </x:c>
      <x:c r="D75" s="109"/>
      <x:c r="E75" s="109"/>
      <x:c r="F75" s="109"/>
      <x:c r="G75" s="109"/>
      <x:c r="H75" s="109"/>
      <x:c r="I75" s="109"/>
      <x:c r="J75" s="109"/>
      <x:c r="K75" s="109"/>
      <x:c r="L75" s="110"/>
    </x:row>
    <x:row r="76">
      <x:c r="A76" s="108" t="str">
        <x:v>AN-072</x:v>
      </x:c>
      <x:c r="B76" s="109" t="n">
        <x:f>COUNTIF('אנמנזה'!$B$5:$B$93,A76)</x:f>
        <x:v>1</x:v>
      </x:c>
      <x:c r="C76" s="109" t="str">
        <x:v>תקין</x:v>
      </x:c>
      <x:c r="D76" s="109"/>
      <x:c r="E76" s="109"/>
      <x:c r="F76" s="109"/>
      <x:c r="G76" s="109"/>
      <x:c r="H76" s="109"/>
      <x:c r="I76" s="109"/>
      <x:c r="J76" s="109"/>
      <x:c r="K76" s="109"/>
      <x:c r="L76" s="110"/>
    </x:row>
    <x:row r="77">
      <x:c r="A77" s="108" t="str">
        <x:v>AN-073</x:v>
      </x:c>
      <x:c r="B77" s="109" t="n">
        <x:f>COUNTIF('אנמנזה'!$B$5:$B$93,A77)</x:f>
        <x:v>1</x:v>
      </x:c>
      <x:c r="C77" s="109" t="str">
        <x:v>תקין</x:v>
      </x:c>
      <x:c r="D77" s="109"/>
      <x:c r="E77" s="109"/>
      <x:c r="F77" s="109"/>
      <x:c r="G77" s="109"/>
      <x:c r="H77" s="109"/>
      <x:c r="I77" s="109"/>
      <x:c r="J77" s="109"/>
      <x:c r="K77" s="109"/>
      <x:c r="L77" s="110"/>
    </x:row>
    <x:row r="78">
      <x:c r="A78" s="108" t="str">
        <x:v>AN-074</x:v>
      </x:c>
      <x:c r="B78" s="109" t="n">
        <x:f>COUNTIF('אנמנזה'!$B$5:$B$93,A78)</x:f>
        <x:v>1</x:v>
      </x:c>
      <x:c r="C78" s="109" t="str">
        <x:v>תקין</x:v>
      </x:c>
      <x:c r="D78" s="109"/>
      <x:c r="E78" s="109"/>
      <x:c r="F78" s="109"/>
      <x:c r="G78" s="109"/>
      <x:c r="H78" s="109"/>
      <x:c r="I78" s="109"/>
      <x:c r="J78" s="109"/>
      <x:c r="K78" s="109"/>
      <x:c r="L78" s="110"/>
    </x:row>
    <x:row r="79">
      <x:c r="A79" s="108" t="str">
        <x:v>AN-075</x:v>
      </x:c>
      <x:c r="B79" s="109" t="n">
        <x:f>COUNTIF('אנמנזה'!$B$5:$B$93,A79)</x:f>
        <x:v>1</x:v>
      </x:c>
      <x:c r="C79" s="109" t="str">
        <x:v>תקין</x:v>
      </x:c>
      <x:c r="D79" s="109"/>
      <x:c r="E79" s="109"/>
      <x:c r="F79" s="109"/>
      <x:c r="G79" s="109"/>
      <x:c r="H79" s="109"/>
      <x:c r="I79" s="109"/>
      <x:c r="J79" s="109"/>
      <x:c r="K79" s="109"/>
      <x:c r="L79" s="110"/>
    </x:row>
    <x:row r="80">
      <x:c r="A80" s="108" t="str">
        <x:v>AN-076</x:v>
      </x:c>
      <x:c r="B80" s="109" t="n">
        <x:f>COUNTIF('אנמנזה'!$B$5:$B$93,A80)</x:f>
        <x:v>1</x:v>
      </x:c>
      <x:c r="C80" s="109" t="str">
        <x:v>תקין</x:v>
      </x:c>
      <x:c r="D80" s="109"/>
      <x:c r="E80" s="109"/>
      <x:c r="F80" s="109"/>
      <x:c r="G80" s="109"/>
      <x:c r="H80" s="109"/>
      <x:c r="I80" s="109"/>
      <x:c r="J80" s="109"/>
      <x:c r="K80" s="109"/>
      <x:c r="L80" s="110"/>
    </x:row>
    <x:row r="81">
      <x:c r="A81" s="108" t="str">
        <x:v>AN-077</x:v>
      </x:c>
      <x:c r="B81" s="109" t="n">
        <x:f>COUNTIF('אנמנזה'!$B$5:$B$93,A81)</x:f>
        <x:v>1</x:v>
      </x:c>
      <x:c r="C81" s="109" t="str">
        <x:v>תקין</x:v>
      </x:c>
      <x:c r="D81" s="109"/>
      <x:c r="E81" s="109"/>
      <x:c r="F81" s="109"/>
      <x:c r="G81" s="109"/>
      <x:c r="H81" s="109"/>
      <x:c r="I81" s="109"/>
      <x:c r="J81" s="109"/>
      <x:c r="K81" s="109"/>
      <x:c r="L81" s="110"/>
    </x:row>
    <x:row r="82">
      <x:c r="A82" s="108" t="str">
        <x:v>AN-078</x:v>
      </x:c>
      <x:c r="B82" s="109" t="n">
        <x:f>COUNTIF('אנמנזה'!$B$5:$B$93,A82)</x:f>
        <x:v>1</x:v>
      </x:c>
      <x:c r="C82" s="109" t="str">
        <x:v>תקין</x:v>
      </x:c>
      <x:c r="D82" s="109"/>
      <x:c r="E82" s="109"/>
      <x:c r="F82" s="109"/>
      <x:c r="G82" s="109"/>
      <x:c r="H82" s="109"/>
      <x:c r="I82" s="109"/>
      <x:c r="J82" s="109"/>
      <x:c r="K82" s="109"/>
      <x:c r="L82" s="110"/>
    </x:row>
    <x:row r="83">
      <x:c r="A83" s="108" t="str">
        <x:v>AN-079</x:v>
      </x:c>
      <x:c r="B83" s="109" t="n">
        <x:f>COUNTIF('אנמנזה'!$B$5:$B$93,A83)</x:f>
        <x:v>1</x:v>
      </x:c>
      <x:c r="C83" s="109" t="str">
        <x:v>תקין</x:v>
      </x:c>
      <x:c r="D83" s="109"/>
      <x:c r="E83" s="109"/>
      <x:c r="F83" s="109"/>
      <x:c r="G83" s="109"/>
      <x:c r="H83" s="109"/>
      <x:c r="I83" s="109"/>
      <x:c r="J83" s="109"/>
      <x:c r="K83" s="109"/>
      <x:c r="L83" s="110"/>
    </x:row>
    <x:row r="84">
      <x:c r="A84" s="108" t="str">
        <x:v>AN-080</x:v>
      </x:c>
      <x:c r="B84" s="109" t="n">
        <x:f>COUNTIF('אנמנזה'!$B$5:$B$93,A84)</x:f>
        <x:v>1</x:v>
      </x:c>
      <x:c r="C84" s="109" t="str">
        <x:v>תקין</x:v>
      </x:c>
      <x:c r="D84" s="109"/>
      <x:c r="E84" s="109"/>
      <x:c r="F84" s="109"/>
      <x:c r="G84" s="109"/>
      <x:c r="H84" s="109"/>
      <x:c r="I84" s="109"/>
      <x:c r="J84" s="109"/>
      <x:c r="K84" s="109"/>
      <x:c r="L84" s="110"/>
    </x:row>
    <x:row r="85">
      <x:c r="A85" s="108" t="str">
        <x:v>AN-081</x:v>
      </x:c>
      <x:c r="B85" s="109" t="n">
        <x:f>COUNTIF('אנמנזה'!$B$5:$B$93,A85)</x:f>
        <x:v>1</x:v>
      </x:c>
      <x:c r="C85" s="109" t="str">
        <x:v>תקין</x:v>
      </x:c>
      <x:c r="D85" s="109"/>
      <x:c r="E85" s="109"/>
      <x:c r="F85" s="109"/>
      <x:c r="G85" s="109"/>
      <x:c r="H85" s="109"/>
      <x:c r="I85" s="109"/>
      <x:c r="J85" s="109"/>
      <x:c r="K85" s="109"/>
      <x:c r="L85" s="110"/>
    </x:row>
    <x:row r="86">
      <x:c r="A86" s="108" t="str">
        <x:v>AN-082</x:v>
      </x:c>
      <x:c r="B86" s="109" t="n">
        <x:f>COUNTIF('אנמנזה'!$B$5:$B$93,A86)</x:f>
        <x:v>1</x:v>
      </x:c>
      <x:c r="C86" s="109" t="str">
        <x:v>תקין</x:v>
      </x:c>
      <x:c r="D86" s="109"/>
      <x:c r="E86" s="109"/>
      <x:c r="F86" s="109"/>
      <x:c r="G86" s="109"/>
      <x:c r="H86" s="109"/>
      <x:c r="I86" s="109"/>
      <x:c r="J86" s="109"/>
      <x:c r="K86" s="109"/>
      <x:c r="L86" s="110"/>
    </x:row>
    <x:row r="87">
      <x:c r="A87" s="108" t="str">
        <x:v>AN-083</x:v>
      </x:c>
      <x:c r="B87" s="109" t="n">
        <x:f>COUNTIF('אנמנזה'!$B$5:$B$93,A87)</x:f>
        <x:v>1</x:v>
      </x:c>
      <x:c r="C87" s="109" t="str">
        <x:v>תקין</x:v>
      </x:c>
      <x:c r="D87" s="109"/>
      <x:c r="E87" s="109"/>
      <x:c r="F87" s="109"/>
      <x:c r="G87" s="109"/>
      <x:c r="H87" s="109"/>
      <x:c r="I87" s="109"/>
      <x:c r="J87" s="109"/>
      <x:c r="K87" s="109"/>
      <x:c r="L87" s="110"/>
    </x:row>
    <x:row r="88">
      <x:c r="A88" s="108" t="str">
        <x:v>AN-084</x:v>
      </x:c>
      <x:c r="B88" s="109" t="n">
        <x:f>COUNTIF('אנמנזה'!$B$5:$B$93,A88)</x:f>
        <x:v>1</x:v>
      </x:c>
      <x:c r="C88" s="109" t="str">
        <x:v>תקין</x:v>
      </x:c>
      <x:c r="D88" s="109"/>
      <x:c r="E88" s="109"/>
      <x:c r="F88" s="109"/>
      <x:c r="G88" s="109"/>
      <x:c r="H88" s="109"/>
      <x:c r="I88" s="109"/>
      <x:c r="J88" s="109"/>
      <x:c r="K88" s="109"/>
      <x:c r="L88" s="110"/>
    </x:row>
    <x:row r="89">
      <x:c r="A89" s="108" t="str">
        <x:v>AN-085</x:v>
      </x:c>
      <x:c r="B89" s="109" t="n">
        <x:f>COUNTIF('אנמנזה'!$B$5:$B$93,A89)</x:f>
        <x:v>1</x:v>
      </x:c>
      <x:c r="C89" s="109" t="str">
        <x:v>תקין</x:v>
      </x:c>
      <x:c r="D89" s="109"/>
      <x:c r="E89" s="109"/>
      <x:c r="F89" s="109"/>
      <x:c r="G89" s="109"/>
      <x:c r="H89" s="109"/>
      <x:c r="I89" s="109"/>
      <x:c r="J89" s="109"/>
      <x:c r="K89" s="109"/>
      <x:c r="L89" s="110"/>
    </x:row>
    <x:row r="90">
      <x:c r="A90" s="108" t="str">
        <x:v>AN-086</x:v>
      </x:c>
      <x:c r="B90" s="109" t="n">
        <x:f>COUNTIF('אנמנזה'!$B$5:$B$93,A90)</x:f>
        <x:v>1</x:v>
      </x:c>
      <x:c r="C90" s="109" t="str">
        <x:v>תקין</x:v>
      </x:c>
      <x:c r="D90" s="109"/>
      <x:c r="E90" s="109"/>
      <x:c r="F90" s="109"/>
      <x:c r="G90" s="109"/>
      <x:c r="H90" s="109"/>
      <x:c r="I90" s="109"/>
      <x:c r="J90" s="109"/>
      <x:c r="K90" s="109"/>
      <x:c r="L90" s="110"/>
    </x:row>
    <x:row r="91">
      <x:c r="A91" s="108" t="str">
        <x:v>AN-087</x:v>
      </x:c>
      <x:c r="B91" s="109" t="n">
        <x:f>COUNTIF('אנמנזה'!$B$5:$B$93,A91)</x:f>
        <x:v>1</x:v>
      </x:c>
      <x:c r="C91" s="109" t="str">
        <x:v>תקין</x:v>
      </x:c>
      <x:c r="D91" s="109"/>
      <x:c r="E91" s="109"/>
      <x:c r="F91" s="109"/>
      <x:c r="G91" s="109"/>
      <x:c r="H91" s="109"/>
      <x:c r="I91" s="109"/>
      <x:c r="J91" s="109"/>
      <x:c r="K91" s="109"/>
      <x:c r="L91" s="110"/>
    </x:row>
    <x:row r="92">
      <x:c r="A92" s="108" t="str">
        <x:v>AN-088</x:v>
      </x:c>
      <x:c r="B92" s="109" t="n">
        <x:f>COUNTIF('אנמנזה'!$B$5:$B$93,A92)</x:f>
        <x:v>1</x:v>
      </x:c>
      <x:c r="C92" s="109" t="str">
        <x:v>תקין</x:v>
      </x:c>
      <x:c r="D92" s="109"/>
      <x:c r="E92" s="109"/>
      <x:c r="F92" s="109"/>
      <x:c r="G92" s="109"/>
      <x:c r="H92" s="109"/>
      <x:c r="I92" s="109"/>
      <x:c r="J92" s="109"/>
      <x:c r="K92" s="109"/>
      <x:c r="L92" s="110"/>
    </x:row>
    <x:row r="93">
      <x:c r="A93" s="111" t="str">
        <x:v>AN-089</x:v>
      </x:c>
      <x:c r="B93" s="112" t="n">
        <x:f>COUNTIF('אנמנזה'!$B$5:$B$93,A93)</x:f>
        <x:v>1</x:v>
      </x:c>
      <x:c r="C93" s="112" t="str">
        <x:v>תקין</x:v>
      </x:c>
      <x:c r="D93" s="112"/>
      <x:c r="E93" s="112"/>
      <x:c r="F93" s="112"/>
      <x:c r="G93" s="112"/>
      <x:c r="H93" s="112"/>
      <x:c r="I93" s="112"/>
      <x:c r="J93" s="112"/>
      <x:c r="K93" s="112"/>
      <x:c r="L93" s="113"/>
    </x:row>
  </x:sheetData>
  <x:mergeCells>
    <x:mergeCell ref="A1:L1"/>
    <x:mergeCell ref="A2:L2"/>
  </x:mergeCells>
  <x:pageMargins left="0.7" right="0.7" top="0.75" bottom="0.75" header="0.3" footer="0.3"/>
</x:worksheet>
</file>