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קרא_אותי" sheetId="1" state="visible" r:id="rId1"/>
    <sheet name="מטא_מקרה" sheetId="2" state="visible" r:id="rId2"/>
    <sheet name="אנמנזה" sheetId="3" state="visible" r:id="rId3"/>
    <sheet name="בדיקה_גופנית" sheetId="4" state="visible" r:id="rId4"/>
    <sheet name="בדיקות_מיידיות" sheetId="5" state="visible" r:id="rId5"/>
    <sheet name="בדיקות_המשך" sheetId="6" state="visible" r:id="rId6"/>
    <sheet name="החלטות_וטיפול" sheetId="7" state="visible" r:id="rId7"/>
    <sheet name="כללי_משוב" sheetId="8" state="visible" r:id="rId8"/>
    <sheet name="מילון_מזהים" sheetId="9" state="visible" r:id="rId9"/>
    <sheet name="בקרת_איכות" sheetId="10" state="visible" r:id="rId10"/>
    <sheet name="תוצאות_מספריות" sheetId="11" state="visible" r:id="rId11"/>
    <sheet name="מדדים_מספריים" sheetId="12" state="visible" r:id="rId12"/>
  </sheets>
  <definedNames/>
</workbook>
</file>

<file path=xl/styles.xml><?xml version="1.0" encoding="utf-8"?>
<styleSheet xmlns="http://schemas.openxmlformats.org/spreadsheetml/2006/main">
  <numFmts count="0"/>
  <fonts count="9">
    <font>
      <name val="Carlito"/>
      <sz val="11"/>
    </font>
    <font>
      <name val="Carlito"/>
      <b val="1"/>
      <color rgb="FFFFFFFF"/>
      <sz val="16"/>
    </font>
    <font>
      <name val="Carlito"/>
      <color rgb="FF182026"/>
      <sz val="10"/>
    </font>
    <font>
      <name val="Carlito"/>
      <b val="1"/>
      <color rgb="FFFFFFFF"/>
      <sz val="11"/>
    </font>
    <font>
      <name val="Carlito"/>
      <b val="1"/>
      <color rgb="FFFFFFFF"/>
      <sz val="10"/>
    </font>
    <font>
      <name val="Carlito"/>
      <b val="1"/>
      <color rgb="FFFFFFFF"/>
      <sz val="15"/>
    </font>
    <font>
      <name val="Carlito"/>
      <color rgb="FF17324D"/>
      <sz val="10"/>
    </font>
    <font>
      <name val="Carlito"/>
      <b val="1"/>
      <color rgb="FF17324D"/>
      <sz val="11"/>
    </font>
    <font>
      <name val="Carlito"/>
      <b val="1"/>
      <color rgb="FF146C43"/>
      <sz val="11"/>
    </font>
  </fonts>
  <fills count="18">
    <fill>
      <patternFill/>
    </fill>
    <fill>
      <patternFill patternType="gray125"/>
    </fill>
    <fill>
      <patternFill patternType="solid">
        <fgColor rgb="FF18324A"/>
      </patternFill>
    </fill>
    <fill>
      <patternFill patternType="solid">
        <fgColor rgb="FFEDF3F8"/>
      </patternFill>
    </fill>
    <fill>
      <patternFill patternType="solid">
        <fgColor rgb="FF167A7B"/>
      </patternFill>
    </fill>
    <fill>
      <patternFill patternType="solid">
        <fgColor rgb="FFFFF5D6"/>
      </patternFill>
    </fill>
    <fill>
      <patternFill patternType="solid">
        <fgColor rgb="FF17324D"/>
      </patternFill>
    </fill>
    <fill>
      <patternFill patternType="solid">
        <fgColor rgb="FFF3F6F8"/>
      </patternFill>
    </fill>
    <fill>
      <patternFill patternType="solid">
        <fgColor rgb="FF0F766E"/>
      </patternFill>
    </fill>
    <fill>
      <patternFill patternType="solid">
        <fgColor rgb="FFFFF4CC"/>
      </patternFill>
    </fill>
    <fill>
      <patternFill patternType="solid">
        <fgColor rgb="FF0B7A75"/>
      </patternFill>
    </fill>
    <fill>
      <patternFill patternType="solid">
        <fgColor rgb="FFE8F4F3"/>
      </patternFill>
    </fill>
    <fill>
      <patternFill patternType="solid">
        <fgColor rgb="FFE2F3E8"/>
      </patternFill>
    </fill>
    <fill>
      <patternFill patternType="solid">
        <fgColor rgb="FF0B7A75"/>
      </patternFill>
    </fill>
    <fill>
      <patternFill patternType="solid">
        <fgColor rgb="FFE8F4F3"/>
      </patternFill>
    </fill>
    <fill>
      <patternFill patternType="solid">
        <fgColor rgb="FFE2F3E8"/>
      </patternFill>
    </fill>
    <fill>
      <patternFill patternType="solid">
        <fgColor rgb="00E8F1FA"/>
      </patternFill>
    </fill>
    <fill>
      <patternFill patternType="solid">
        <fgColor rgb="00FFF2CC"/>
      </patternFill>
    </fill>
  </fills>
  <borders count="28">
    <border/>
    <border>
      <left style="thin">
        <color rgb="FFCBD5DC"/>
      </left>
      <right style="thin">
        <color rgb="FFCBD5DC"/>
      </right>
      <top style="thin">
        <color rgb="FFCBD5DC"/>
      </top>
      <bottom style="thin">
        <color rgb="FFCBD5DC"/>
      </bottom>
    </border>
    <border>
      <right style="thin">
        <color rgb="FFCBD5DC"/>
      </right>
      <bottom style="thin">
        <color rgb="FFCBD5DC"/>
      </bottom>
    </border>
    <border>
      <left style="thin">
        <color rgb="FFCBD5DC"/>
      </left>
      <bottom style="thin">
        <color rgb="FFCBD5DC"/>
      </bottom>
    </border>
    <border>
      <right style="thin">
        <color rgb="FFCBD5DC"/>
      </right>
      <top style="thin">
        <color rgb="FFCBD5DC"/>
      </top>
      <bottom style="thin">
        <color rgb="FFCBD5DC"/>
      </bottom>
    </border>
    <border>
      <left style="thin">
        <color rgb="FFCBD5DC"/>
      </left>
      <top style="thin">
        <color rgb="FFCBD5DC"/>
      </top>
      <bottom style="thin">
        <color rgb="FFCBD5DC"/>
      </bottom>
    </border>
    <border>
      <right style="thin">
        <color rgb="FFCBD5DC"/>
      </right>
      <top style="thin">
        <color rgb="FFCBD5DC"/>
      </top>
    </border>
    <border>
      <left style="thin">
        <color rgb="FFCBD5DC"/>
      </left>
      <top style="thin">
        <color rgb="FFCBD5DC"/>
      </top>
    </border>
    <border>
      <left style="thin">
        <color rgb="FFCBD5DC"/>
      </left>
      <right style="thin">
        <color rgb="FFCBD5DC"/>
      </right>
      <bottom style="thin">
        <color rgb="FFCBD5DC"/>
      </bottom>
    </border>
    <border>
      <left style="thin">
        <color rgb="FFCBD5DC"/>
      </left>
      <right style="thin">
        <color rgb="FFCBD5DC"/>
      </right>
      <top style="thin">
        <color rgb="FFCBD5DC"/>
      </top>
    </border>
    <border>
      <left style="thin">
        <color rgb="FFB8CDD6"/>
      </left>
      <right style="thin">
        <color rgb="FFB8CDD6"/>
      </right>
      <top style="thin">
        <color rgb="FFB8CDD6"/>
      </top>
      <bottom style="thin">
        <color rgb="FFB8CDD6"/>
      </bottom>
    </border>
    <border>
      <right style="thin">
        <color rgb="FFD8E4E9"/>
      </right>
      <bottom style="thin">
        <color rgb="FFD8E4E9"/>
      </bottom>
    </border>
    <border>
      <left style="thin">
        <color rgb="FFD8E4E9"/>
      </left>
      <right style="thin">
        <color rgb="FFD8E4E9"/>
      </right>
      <bottom style="thin">
        <color rgb="FFD8E4E9"/>
      </bottom>
    </border>
    <border>
      <left style="thin">
        <color rgb="FFD8E4E9"/>
      </left>
      <bottom style="thin">
        <color rgb="FFD8E4E9"/>
      </bottom>
    </border>
    <border>
      <right style="thin">
        <color rgb="FFD8E4E9"/>
      </right>
      <top style="thin">
        <color rgb="FFD8E4E9"/>
      </top>
      <bottom style="thin">
        <color rgb="FFD8E4E9"/>
      </bottom>
    </border>
    <border>
      <left style="thin">
        <color rgb="FFD8E4E9"/>
      </left>
      <right style="thin">
        <color rgb="FFD8E4E9"/>
      </right>
      <top style="thin">
        <color rgb="FFD8E4E9"/>
      </top>
      <bottom style="thin">
        <color rgb="FFD8E4E9"/>
      </bottom>
    </border>
    <border>
      <left style="thin">
        <color rgb="FFD8E4E9"/>
      </left>
      <top style="thin">
        <color rgb="FFD8E4E9"/>
      </top>
      <bottom style="thin">
        <color rgb="FFD8E4E9"/>
      </bottom>
    </border>
    <border>
      <right style="thin">
        <color rgb="FFD8E4E9"/>
      </right>
      <top style="thin">
        <color rgb="FFD8E4E9"/>
      </top>
    </border>
    <border>
      <left style="thin">
        <color rgb="FFD8E4E9"/>
      </left>
      <right style="thin">
        <color rgb="FFD8E4E9"/>
      </right>
      <top style="thin">
        <color rgb="FFD8E4E9"/>
      </top>
    </border>
    <border>
      <left style="thin">
        <color rgb="FFD8E4E9"/>
      </left>
      <top style="thin">
        <color rgb="FFD8E4E9"/>
      </top>
    </border>
    <border>
      <bottom style="thin">
        <color rgb="FFD8E4E9"/>
      </bottom>
    </border>
    <border>
      <top style="thin">
        <color rgb="FFD8E4E9"/>
      </top>
      <bottom style="thin">
        <color rgb="FFD8E4E9"/>
      </bottom>
    </border>
    <border>
      <top style="thin">
        <color rgb="FFD8E4E9"/>
      </top>
    </border>
    <border>
      <left style="thin">
        <color rgb="FFC8D8DF"/>
      </left>
      <right style="thin">
        <color rgb="FFC8D8DF"/>
      </right>
      <top style="thin">
        <color rgb="FFC8D8DF"/>
      </top>
      <bottom style="thin">
        <color rgb="FFC8D8DF"/>
      </bottom>
    </border>
    <border>
      <top style="thin">
        <color rgb="FFB8CDD6"/>
      </top>
    </border>
    <border>
      <right style="thin">
        <color rgb="FFB8CDD6"/>
      </right>
      <top style="thin">
        <color rgb="FFB8CDD6"/>
      </top>
    </border>
    <border>
      <top style="thin">
        <color rgb="FFB8CDD6"/>
      </top>
      <bottom style="thin">
        <color rgb="FFB8CDD6"/>
      </bottom>
    </border>
    <border>
      <right style="thin">
        <color rgb="FFB8CDD6"/>
      </right>
      <top style="thin">
        <color rgb="FFB8CDD6"/>
      </top>
      <bottom style="thin">
        <color rgb="FFB8CDD6"/>
      </bottom>
    </border>
  </borders>
  <cellStyleXfs count="1">
    <xf numFmtId="0" fontId="0" fillId="0" borderId="0"/>
  </cellStyleXfs>
  <cellXfs count="176">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right"/>
    </xf>
    <xf numFmtId="0" fontId="1" fillId="2" borderId="0" applyAlignment="1" pivotButton="0" quotePrefix="0" xfId="0">
      <alignment horizontal="righ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right" wrapText="1"/>
    </xf>
    <xf numFmtId="0" fontId="2" fillId="3" borderId="0" applyAlignment="1" pivotButton="0" quotePrefix="0" xfId="0">
      <alignment horizontal="right" vertical="center" wrapText="1"/>
    </xf>
    <xf numFmtId="0" fontId="0" fillId="4" borderId="0" pivotButton="0" quotePrefix="0" xfId="0"/>
    <xf numFmtId="0" fontId="3" fillId="4" borderId="0" pivotButton="0" quotePrefix="0" xfId="0"/>
    <xf numFmtId="0" fontId="3" fillId="4" borderId="0" applyAlignment="1" pivotButton="0" quotePrefix="0" xfId="0">
      <alignment horizontal="center"/>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horizontal="right" wrapText="1"/>
    </xf>
    <xf numFmtId="0" fontId="0" fillId="0" borderId="1" applyAlignment="1" pivotButton="0" quotePrefix="0" xfId="0">
      <alignment horizontal="right" vertical="top" wrapText="1"/>
    </xf>
    <xf numFmtId="0" fontId="4" fillId="4" borderId="0" pivotButton="0" quotePrefix="0" xfId="0"/>
    <xf numFmtId="0" fontId="4" fillId="4" borderId="0" applyAlignment="1" pivotButton="0" quotePrefix="0" xfId="0">
      <alignment wrapText="1"/>
    </xf>
    <xf numFmtId="0" fontId="4" fillId="4" borderId="0" applyAlignment="1" pivotButton="0" quotePrefix="0" xfId="0">
      <alignment horizontal="center" wrapText="1"/>
    </xf>
    <xf numFmtId="0" fontId="4" fillId="4" borderId="0" applyAlignment="1" pivotButton="0" quotePrefix="0" xfId="0">
      <alignment horizontal="center" vertical="center" wrapText="1"/>
    </xf>
    <xf numFmtId="0" fontId="2" fillId="0" borderId="0" pivotButton="0" quotePrefix="0" xfId="0"/>
    <xf numFmtId="0" fontId="2" fillId="0" borderId="2" pivotButton="0" quotePrefix="0" xfId="0"/>
    <xf numFmtId="0" fontId="2" fillId="0" borderId="3" pivotButton="0" quotePrefix="0" xfId="0"/>
    <xf numFmtId="0" fontId="2" fillId="0" borderId="4" pivotButton="0" quotePrefix="0" xfId="0"/>
    <xf numFmtId="0" fontId="2" fillId="0" borderId="5" pivotButton="0" quotePrefix="0" xfId="0"/>
    <xf numFmtId="0" fontId="2" fillId="0" borderId="6" pivotButton="0" quotePrefix="0" xfId="0"/>
    <xf numFmtId="0" fontId="2" fillId="0" borderId="7" pivotButton="0" quotePrefix="0" xfId="0"/>
    <xf numFmtId="0" fontId="2" fillId="0" borderId="2" applyAlignment="1" pivotButton="0" quotePrefix="0" xfId="0">
      <alignment wrapText="1"/>
    </xf>
    <xf numFmtId="0" fontId="2" fillId="0" borderId="3" applyAlignment="1" pivotButton="0" quotePrefix="0" xfId="0">
      <alignment wrapText="1"/>
    </xf>
    <xf numFmtId="0" fontId="2" fillId="0" borderId="4" applyAlignment="1" pivotButton="0" quotePrefix="0" xfId="0">
      <alignment wrapText="1"/>
    </xf>
    <xf numFmtId="0" fontId="2" fillId="0" borderId="5" applyAlignment="1" pivotButton="0" quotePrefix="0" xfId="0">
      <alignment wrapText="1"/>
    </xf>
    <xf numFmtId="0" fontId="2" fillId="0" borderId="6" applyAlignment="1" pivotButton="0" quotePrefix="0" xfId="0">
      <alignment wrapText="1"/>
    </xf>
    <xf numFmtId="0" fontId="2" fillId="0" borderId="7" applyAlignment="1" pivotButton="0" quotePrefix="0" xfId="0">
      <alignment wrapText="1"/>
    </xf>
    <xf numFmtId="0" fontId="2" fillId="0" borderId="2" applyAlignment="1" pivotButton="0" quotePrefix="0" xfId="0">
      <alignment horizontal="right" wrapText="1"/>
    </xf>
    <xf numFmtId="0" fontId="2" fillId="0" borderId="3" applyAlignment="1" pivotButton="0" quotePrefix="0" xfId="0">
      <alignment horizontal="right" wrapText="1"/>
    </xf>
    <xf numFmtId="0" fontId="2" fillId="0" borderId="4" applyAlignment="1" pivotButton="0" quotePrefix="0" xfId="0">
      <alignment horizontal="right" wrapText="1"/>
    </xf>
    <xf numFmtId="0" fontId="2" fillId="0" borderId="5" applyAlignment="1" pivotButton="0" quotePrefix="0" xfId="0">
      <alignment horizontal="right" wrapText="1"/>
    </xf>
    <xf numFmtId="0" fontId="2" fillId="0" borderId="6" applyAlignment="1" pivotButton="0" quotePrefix="0" xfId="0">
      <alignment horizontal="right" wrapText="1"/>
    </xf>
    <xf numFmtId="0" fontId="2" fillId="0" borderId="7" applyAlignment="1" pivotButton="0" quotePrefix="0" xfId="0">
      <alignment horizontal="right" wrapText="1"/>
    </xf>
    <xf numFmtId="0" fontId="2" fillId="0" borderId="2" applyAlignment="1" pivotButton="0" quotePrefix="0" xfId="0">
      <alignment horizontal="right" vertical="top" wrapText="1"/>
    </xf>
    <xf numFmtId="0" fontId="2" fillId="0" borderId="3" applyAlignment="1" pivotButton="0" quotePrefix="0" xfId="0">
      <alignment horizontal="right" vertical="top" wrapText="1"/>
    </xf>
    <xf numFmtId="0" fontId="2" fillId="0" borderId="4" applyAlignment="1" pivotButton="0" quotePrefix="0" xfId="0">
      <alignment horizontal="right" vertical="top" wrapText="1"/>
    </xf>
    <xf numFmtId="0" fontId="2" fillId="0" borderId="5" applyAlignment="1" pivotButton="0" quotePrefix="0" xfId="0">
      <alignment horizontal="right" vertical="top" wrapText="1"/>
    </xf>
    <xf numFmtId="0" fontId="2" fillId="0" borderId="6" applyAlignment="1" pivotButton="0" quotePrefix="0" xfId="0">
      <alignment horizontal="right" vertical="top" wrapText="1"/>
    </xf>
    <xf numFmtId="0" fontId="2" fillId="0" borderId="7" applyAlignment="1" pivotButton="0" quotePrefix="0" xfId="0">
      <alignment horizontal="right" vertical="top" wrapText="1"/>
    </xf>
    <xf numFmtId="0" fontId="2" fillId="5" borderId="3" applyAlignment="1" pivotButton="0" quotePrefix="0" xfId="0">
      <alignment horizontal="right" vertical="top" wrapText="1"/>
    </xf>
    <xf numFmtId="0" fontId="2" fillId="5" borderId="5" applyAlignment="1" pivotButton="0" quotePrefix="0" xfId="0">
      <alignment horizontal="right" vertical="top" wrapText="1"/>
    </xf>
    <xf numFmtId="0" fontId="2" fillId="5" borderId="7" applyAlignment="1" pivotButton="0" quotePrefix="0" xfId="0">
      <alignment horizontal="right" vertical="top" wrapText="1"/>
    </xf>
    <xf numFmtId="0" fontId="2" fillId="0" borderId="8" pivotButton="0" quotePrefix="0" xfId="0"/>
    <xf numFmtId="0" fontId="2" fillId="0" borderId="1" pivotButton="0" quotePrefix="0" xfId="0"/>
    <xf numFmtId="0" fontId="2" fillId="0" borderId="9" pivotButton="0" quotePrefix="0" xfId="0"/>
    <xf numFmtId="0" fontId="2" fillId="0" borderId="8" applyAlignment="1" pivotButton="0" quotePrefix="0" xfId="0">
      <alignment wrapText="1"/>
    </xf>
    <xf numFmtId="0" fontId="2" fillId="0" borderId="1" applyAlignment="1" pivotButton="0" quotePrefix="0" xfId="0">
      <alignment wrapText="1"/>
    </xf>
    <xf numFmtId="0" fontId="2" fillId="0" borderId="9" applyAlignment="1" pivotButton="0" quotePrefix="0" xfId="0">
      <alignment wrapText="1"/>
    </xf>
    <xf numFmtId="0" fontId="2" fillId="0" borderId="8" applyAlignment="1" pivotButton="0" quotePrefix="0" xfId="0">
      <alignment horizontal="right" wrapText="1"/>
    </xf>
    <xf numFmtId="0" fontId="2" fillId="0" borderId="1" applyAlignment="1" pivotButton="0" quotePrefix="0" xfId="0">
      <alignment horizontal="right" wrapText="1"/>
    </xf>
    <xf numFmtId="0" fontId="2" fillId="0" borderId="9" applyAlignment="1" pivotButton="0" quotePrefix="0" xfId="0">
      <alignment horizontal="right" wrapText="1"/>
    </xf>
    <xf numFmtId="0" fontId="2" fillId="0" borderId="8" applyAlignment="1" pivotButton="0" quotePrefix="0" xfId="0">
      <alignment horizontal="right" vertical="top" wrapText="1"/>
    </xf>
    <xf numFmtId="0" fontId="2" fillId="0" borderId="1" applyAlignment="1" pivotButton="0" quotePrefix="0" xfId="0">
      <alignment horizontal="right" vertical="top" wrapText="1"/>
    </xf>
    <xf numFmtId="0" fontId="2" fillId="0" borderId="9" applyAlignment="1" pivotButton="0" quotePrefix="0" xfId="0">
      <alignment horizontal="right" vertical="top" wrapText="1"/>
    </xf>
    <xf numFmtId="0" fontId="2" fillId="5" borderId="8" applyAlignment="1" pivotButton="0" quotePrefix="0" xfId="0">
      <alignment horizontal="right" vertical="top" wrapText="1"/>
    </xf>
    <xf numFmtId="0" fontId="2" fillId="5" borderId="1" applyAlignment="1" pivotButton="0" quotePrefix="0" xfId="0">
      <alignment horizontal="right" vertical="top" wrapText="1"/>
    </xf>
    <xf numFmtId="0" fontId="2" fillId="5" borderId="9" applyAlignment="1" pivotButton="0" quotePrefix="0" xfId="0">
      <alignment horizontal="right" vertical="top" wrapText="1"/>
    </xf>
    <xf numFmtId="0" fontId="2" fillId="5" borderId="2" applyAlignment="1" pivotButton="0" quotePrefix="0" xfId="0">
      <alignment horizontal="right" vertical="top" wrapText="1"/>
    </xf>
    <xf numFmtId="0" fontId="2" fillId="5" borderId="4" applyAlignment="1" pivotButton="0" quotePrefix="0" xfId="0">
      <alignment horizontal="right" vertical="top" wrapText="1"/>
    </xf>
    <xf numFmtId="0" fontId="2" fillId="5" borderId="6" applyAlignment="1" pivotButton="0" quotePrefix="0" xfId="0">
      <alignment horizontal="right" vertical="top" wrapText="1"/>
    </xf>
    <xf numFmtId="0" fontId="3" fillId="4" borderId="0" applyAlignment="1" pivotButton="0" quotePrefix="0" xfId="0">
      <alignment wrapText="1"/>
    </xf>
    <xf numFmtId="0" fontId="3" fillId="4" borderId="0" applyAlignment="1" pivotButton="0" quotePrefix="0" xfId="0">
      <alignment horizontal="center" wrapText="1"/>
    </xf>
    <xf numFmtId="0" fontId="2" fillId="0" borderId="2" applyAlignment="1" pivotButton="0" quotePrefix="0" xfId="0">
      <alignment horizontal="center"/>
    </xf>
    <xf numFmtId="0" fontId="2" fillId="0" borderId="8"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center"/>
    </xf>
    <xf numFmtId="0" fontId="2" fillId="0" borderId="1" applyAlignment="1" pivotButton="0" quotePrefix="0" xfId="0">
      <alignment horizontal="center"/>
    </xf>
    <xf numFmtId="0" fontId="2" fillId="0" borderId="5" applyAlignment="1" pivotButton="0" quotePrefix="0" xfId="0">
      <alignment horizontal="center"/>
    </xf>
    <xf numFmtId="0" fontId="2" fillId="0" borderId="6" applyAlignment="1" pivotButton="0" quotePrefix="0" xfId="0">
      <alignment horizontal="center"/>
    </xf>
    <xf numFmtId="0" fontId="2" fillId="0" borderId="9" applyAlignment="1" pivotButton="0" quotePrefix="0" xfId="0">
      <alignment horizontal="center"/>
    </xf>
    <xf numFmtId="0" fontId="2" fillId="0" borderId="7" applyAlignment="1" pivotButton="0" quotePrefix="0" xfId="0">
      <alignment horizontal="center"/>
    </xf>
    <xf numFmtId="0" fontId="0" fillId="0" borderId="1" applyAlignment="1" pivotButton="0" quotePrefix="0" xfId="0">
      <alignment horizontal="center"/>
    </xf>
    <xf numFmtId="0" fontId="0" fillId="0" borderId="1" applyAlignment="1" pivotButton="0" quotePrefix="0" xfId="0">
      <alignment vertical="center" wrapText="1"/>
    </xf>
    <xf numFmtId="0" fontId="0" fillId="6" borderId="0" pivotButton="0" quotePrefix="0" xfId="0"/>
    <xf numFmtId="0" fontId="5" fillId="6" borderId="0" pivotButton="0" quotePrefix="0" xfId="0"/>
    <xf numFmtId="0" fontId="5" fillId="6" borderId="0" applyAlignment="1" pivotButton="0" quotePrefix="0" xfId="0">
      <alignment horizontal="center"/>
    </xf>
    <xf numFmtId="0" fontId="5" fillId="6" borderId="0" applyAlignment="1" pivotButton="0" quotePrefix="0" xfId="0">
      <alignment horizontal="center" vertical="center"/>
    </xf>
    <xf numFmtId="0" fontId="0" fillId="7" borderId="0" pivotButton="0" quotePrefix="0" xfId="0"/>
    <xf numFmtId="0" fontId="6" fillId="7" borderId="0" pivotButton="0" quotePrefix="0" xfId="0"/>
    <xf numFmtId="0" fontId="6" fillId="7" borderId="0" applyAlignment="1" pivotButton="0" quotePrefix="0" xfId="0">
      <alignment wrapText="1"/>
    </xf>
    <xf numFmtId="0" fontId="6" fillId="7" borderId="0" applyAlignment="1" pivotButton="0" quotePrefix="0" xfId="0">
      <alignment horizontal="right" wrapText="1"/>
    </xf>
    <xf numFmtId="0" fontId="6" fillId="7" borderId="0" applyAlignment="1" pivotButton="0" quotePrefix="0" xfId="0">
      <alignment horizontal="right" vertical="center" wrapText="1"/>
    </xf>
    <xf numFmtId="0" fontId="0" fillId="8" borderId="0" pivotButton="0" quotePrefix="0" xfId="0"/>
    <xf numFmtId="0" fontId="3" fillId="8" borderId="0" pivotButton="0" quotePrefix="0" xfId="0"/>
    <xf numFmtId="0" fontId="3" fillId="8" borderId="10" pivotButton="0" quotePrefix="0" xfId="0"/>
    <xf numFmtId="0" fontId="3" fillId="8" borderId="10" applyAlignment="1" pivotButton="0" quotePrefix="0" xfId="0">
      <alignment wrapText="1"/>
    </xf>
    <xf numFmtId="0" fontId="3" fillId="8" borderId="10" applyAlignment="1" pivotButton="0" quotePrefix="0" xfId="0">
      <alignment horizontal="center" wrapText="1"/>
    </xf>
    <xf numFmtId="0" fontId="3" fillId="8" borderId="10" applyAlignment="1" pivotButton="0" quotePrefix="0" xfId="0">
      <alignment horizontal="center" vertical="center" wrapText="1"/>
    </xf>
    <xf numFmtId="0" fontId="6" fillId="0" borderId="0" pivotButton="0" quotePrefix="0" xfId="0"/>
    <xf numFmtId="0" fontId="6" fillId="0" borderId="11" pivotButton="0" quotePrefix="0" xfId="0"/>
    <xf numFmtId="0" fontId="6" fillId="0" borderId="12" pivotButton="0" quotePrefix="0" xfId="0"/>
    <xf numFmtId="0" fontId="6" fillId="0" borderId="13" pivotButton="0" quotePrefix="0" xfId="0"/>
    <xf numFmtId="0" fontId="6" fillId="0" borderId="14" pivotButton="0" quotePrefix="0" xfId="0"/>
    <xf numFmtId="0" fontId="6" fillId="0" borderId="15" pivotButton="0" quotePrefix="0" xfId="0"/>
    <xf numFmtId="0" fontId="6" fillId="0" borderId="16" pivotButton="0" quotePrefix="0" xfId="0"/>
    <xf numFmtId="0" fontId="6" fillId="0" borderId="17" pivotButton="0" quotePrefix="0" xfId="0"/>
    <xf numFmtId="0" fontId="6" fillId="0" borderId="18" pivotButton="0" quotePrefix="0" xfId="0"/>
    <xf numFmtId="0" fontId="6" fillId="0" borderId="19" pivotButton="0" quotePrefix="0" xfId="0"/>
    <xf numFmtId="0" fontId="6" fillId="0" borderId="11" applyAlignment="1" pivotButton="0" quotePrefix="0" xfId="0">
      <alignment wrapText="1"/>
    </xf>
    <xf numFmtId="0" fontId="6" fillId="0" borderId="12" applyAlignment="1" pivotButton="0" quotePrefix="0" xfId="0">
      <alignment wrapText="1"/>
    </xf>
    <xf numFmtId="0" fontId="6" fillId="0" borderId="13" applyAlignment="1" pivotButton="0" quotePrefix="0" xfId="0">
      <alignment wrapText="1"/>
    </xf>
    <xf numFmtId="0" fontId="6" fillId="0" borderId="14" applyAlignment="1" pivotButton="0" quotePrefix="0" xfId="0">
      <alignment wrapText="1"/>
    </xf>
    <xf numFmtId="0" fontId="6" fillId="0" borderId="15" applyAlignment="1" pivotButton="0" quotePrefix="0" xfId="0">
      <alignment wrapText="1"/>
    </xf>
    <xf numFmtId="0" fontId="6" fillId="0" borderId="16" applyAlignment="1" pivotButton="0" quotePrefix="0" xfId="0">
      <alignment wrapText="1"/>
    </xf>
    <xf numFmtId="0" fontId="6" fillId="0" borderId="17" applyAlignment="1" pivotButton="0" quotePrefix="0" xfId="0">
      <alignment wrapText="1"/>
    </xf>
    <xf numFmtId="0" fontId="6" fillId="0" borderId="18" applyAlignment="1" pivotButton="0" quotePrefix="0" xfId="0">
      <alignment wrapText="1"/>
    </xf>
    <xf numFmtId="0" fontId="6" fillId="0" borderId="19" applyAlignment="1" pivotButton="0" quotePrefix="0" xfId="0">
      <alignment wrapText="1"/>
    </xf>
    <xf numFmtId="0" fontId="6" fillId="0" borderId="11" applyAlignment="1" pivotButton="0" quotePrefix="0" xfId="0">
      <alignment vertical="top" wrapText="1"/>
    </xf>
    <xf numFmtId="0" fontId="6" fillId="0" borderId="12" applyAlignment="1" pivotButton="0" quotePrefix="0" xfId="0">
      <alignment vertical="top" wrapText="1"/>
    </xf>
    <xf numFmtId="0" fontId="6" fillId="0" borderId="13" applyAlignment="1" pivotButton="0" quotePrefix="0" xfId="0">
      <alignment vertical="top" wrapText="1"/>
    </xf>
    <xf numFmtId="0" fontId="6" fillId="0" borderId="14" applyAlignment="1" pivotButton="0" quotePrefix="0" xfId="0">
      <alignment vertical="top" wrapText="1"/>
    </xf>
    <xf numFmtId="0" fontId="6" fillId="0" borderId="15" applyAlignment="1" pivotButton="0" quotePrefix="0" xfId="0">
      <alignment vertical="top" wrapText="1"/>
    </xf>
    <xf numFmtId="0" fontId="6" fillId="0" borderId="16" applyAlignment="1" pivotButton="0" quotePrefix="0" xfId="0">
      <alignment vertical="top" wrapText="1"/>
    </xf>
    <xf numFmtId="0" fontId="6" fillId="0" borderId="17" applyAlignment="1" pivotButton="0" quotePrefix="0" xfId="0">
      <alignment vertical="top" wrapText="1"/>
    </xf>
    <xf numFmtId="0" fontId="6" fillId="0" borderId="18" applyAlignment="1" pivotButton="0" quotePrefix="0" xfId="0">
      <alignment vertical="top" wrapText="1"/>
    </xf>
    <xf numFmtId="0" fontId="6" fillId="0" borderId="19" applyAlignment="1" pivotButton="0" quotePrefix="0" xfId="0">
      <alignment vertical="top" wrapText="1"/>
    </xf>
    <xf numFmtId="0" fontId="6" fillId="9" borderId="12" applyAlignment="1" pivotButton="0" quotePrefix="0" xfId="0">
      <alignment vertical="top" wrapText="1"/>
    </xf>
    <xf numFmtId="0" fontId="6" fillId="9" borderId="15" applyAlignment="1" pivotButton="0" quotePrefix="0" xfId="0">
      <alignment vertical="top" wrapText="1"/>
    </xf>
    <xf numFmtId="0" fontId="6" fillId="9" borderId="18" applyAlignment="1" pivotButton="0" quotePrefix="0" xfId="0">
      <alignment vertical="top" wrapText="1"/>
    </xf>
    <xf numFmtId="0" fontId="6" fillId="0" borderId="20" pivotButton="0" quotePrefix="0" xfId="0"/>
    <xf numFmtId="0" fontId="6" fillId="0" borderId="21" pivotButton="0" quotePrefix="0" xfId="0"/>
    <xf numFmtId="0" fontId="6" fillId="0" borderId="22" pivotButton="0" quotePrefix="0" xfId="0"/>
    <xf numFmtId="0" fontId="6" fillId="0" borderId="20" applyAlignment="1" pivotButton="0" quotePrefix="0" xfId="0">
      <alignment wrapText="1"/>
    </xf>
    <xf numFmtId="0" fontId="6" fillId="0" borderId="21" applyAlignment="1" pivotButton="0" quotePrefix="0" xfId="0">
      <alignment wrapText="1"/>
    </xf>
    <xf numFmtId="0" fontId="6" fillId="0" borderId="22" applyAlignment="1" pivotButton="0" quotePrefix="0" xfId="0">
      <alignment wrapText="1"/>
    </xf>
    <xf numFmtId="0" fontId="6" fillId="0" borderId="20" applyAlignment="1" pivotButton="0" quotePrefix="0" xfId="0">
      <alignment vertical="top" wrapText="1"/>
    </xf>
    <xf numFmtId="0" fontId="6" fillId="0" borderId="21" applyAlignment="1" pivotButton="0" quotePrefix="0" xfId="0">
      <alignment vertical="top" wrapText="1"/>
    </xf>
    <xf numFmtId="0" fontId="6" fillId="0" borderId="22" applyAlignment="1" pivotButton="0" quotePrefix="0" xfId="0">
      <alignment vertical="top" wrapText="1"/>
    </xf>
    <xf numFmtId="0" fontId="0" fillId="0" borderId="0" applyAlignment="1" pivotButton="0" quotePrefix="0" xfId="0">
      <alignment wrapText="1"/>
    </xf>
    <xf numFmtId="0" fontId="0" fillId="10" borderId="0" pivotButton="0" quotePrefix="0" xfId="0"/>
    <xf numFmtId="0" fontId="3" fillId="10" borderId="0" pivotButton="0" quotePrefix="0" xfId="0"/>
    <xf numFmtId="0" fontId="3" fillId="10" borderId="0" applyAlignment="1" pivotButton="0" quotePrefix="0" xfId="0">
      <alignment wrapText="1"/>
    </xf>
    <xf numFmtId="0" fontId="3" fillId="10" borderId="0" applyAlignment="1" pivotButton="0" quotePrefix="0" xfId="0">
      <alignment horizontal="center" wrapText="1"/>
    </xf>
    <xf numFmtId="0" fontId="3" fillId="10" borderId="0" applyAlignment="1" pivotButton="0" quotePrefix="0" xfId="0">
      <alignment horizontal="center" vertical="center" wrapText="1"/>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center"/>
    </xf>
    <xf numFmtId="0" fontId="0" fillId="11" borderId="0" pivotButton="0" quotePrefix="0" xfId="0"/>
    <xf numFmtId="0" fontId="0" fillId="11" borderId="23" pivotButton="0" quotePrefix="0" xfId="0"/>
    <xf numFmtId="0" fontId="0" fillId="11" borderId="23" applyAlignment="1" pivotButton="0" quotePrefix="0" xfId="0">
      <alignment vertical="center"/>
    </xf>
    <xf numFmtId="0" fontId="7" fillId="11" borderId="23" applyAlignment="1" pivotButton="0" quotePrefix="0" xfId="0">
      <alignment vertical="center"/>
    </xf>
    <xf numFmtId="0" fontId="0" fillId="11" borderId="23" applyAlignment="1" pivotButton="0" quotePrefix="0" xfId="0">
      <alignment horizontal="center" vertical="center"/>
    </xf>
    <xf numFmtId="0" fontId="0" fillId="12" borderId="23" applyAlignment="1" pivotButton="0" quotePrefix="0" xfId="0">
      <alignment vertical="center"/>
    </xf>
    <xf numFmtId="0" fontId="8" fillId="12" borderId="23" applyAlignment="1" pivotButton="0" quotePrefix="0" xfId="0">
      <alignment vertical="center"/>
    </xf>
    <xf numFmtId="0" fontId="8" fillId="12" borderId="23" applyAlignment="1" pivotButton="0" quotePrefix="0" xfId="0">
      <alignment horizontal="center" vertical="center"/>
    </xf>
    <xf numFmtId="0" fontId="3" fillId="13" borderId="0" applyAlignment="1" pivotButton="0" quotePrefix="0" xfId="0">
      <alignment horizontal="center" vertical="center" wrapText="1"/>
    </xf>
    <xf numFmtId="0" fontId="7" fillId="14" borderId="23" applyAlignment="1" pivotButton="0" quotePrefix="0" xfId="0">
      <alignment vertical="center"/>
    </xf>
    <xf numFmtId="0" fontId="0" fillId="14" borderId="23" applyAlignment="1" pivotButton="0" quotePrefix="0" xfId="0">
      <alignment horizontal="center" vertical="center"/>
    </xf>
    <xf numFmtId="0" fontId="0" fillId="14" borderId="23" applyAlignment="1" pivotButton="0" quotePrefix="0" xfId="0">
      <alignment vertical="center"/>
    </xf>
    <xf numFmtId="0" fontId="8" fillId="14" borderId="23" applyAlignment="1" pivotButton="0" quotePrefix="0" xfId="0">
      <alignment horizontal="center" vertical="center"/>
    </xf>
    <xf numFmtId="0" fontId="8" fillId="15" borderId="23" applyAlignment="1" pivotButton="0" quotePrefix="0" xfId="0">
      <alignment horizontal="center" vertical="center"/>
    </xf>
    <xf numFmtId="0" fontId="2" fillId="16" borderId="5" applyAlignment="1" pivotButton="0" quotePrefix="0" xfId="0">
      <alignment horizontal="right" vertical="top" wrapText="1"/>
    </xf>
    <xf numFmtId="0" fontId="0" fillId="16" borderId="0" applyAlignment="1" pivotButton="0" quotePrefix="0" xfId="0">
      <alignment wrapText="1"/>
    </xf>
    <xf numFmtId="0" fontId="2" fillId="16" borderId="8" applyAlignment="1" pivotButton="0" quotePrefix="0" xfId="0">
      <alignment horizontal="right" vertical="top" wrapText="1"/>
    </xf>
    <xf numFmtId="0" fontId="2" fillId="16" borderId="1" applyAlignment="1" pivotButton="0" quotePrefix="0" xfId="0">
      <alignment horizontal="right" vertical="top" wrapText="1"/>
    </xf>
    <xf numFmtId="0" fontId="2" fillId="17" borderId="1" applyAlignment="1" pivotButton="0" quotePrefix="0" xfId="0">
      <alignment horizontal="right" vertical="top" wrapText="1"/>
    </xf>
    <xf numFmtId="0" fontId="2" fillId="16" borderId="9" applyAlignment="1" pivotButton="0" quotePrefix="0" xfId="0">
      <alignment horizontal="right" vertical="top" wrapText="1"/>
    </xf>
    <xf numFmtId="0" fontId="2" fillId="17" borderId="9" applyAlignment="1" pivotButton="0" quotePrefix="0" xfId="0">
      <alignment horizontal="right" vertical="top" wrapText="1"/>
    </xf>
    <xf numFmtId="0" fontId="2" fillId="16" borderId="3" applyAlignment="1" pivotButton="0" quotePrefix="0" xfId="0">
      <alignment horizontal="right" vertical="top" wrapText="1"/>
    </xf>
    <xf numFmtId="0" fontId="2" fillId="16" borderId="7" applyAlignment="1" pivotButton="0" quotePrefix="0" xfId="0">
      <alignment horizontal="right" vertical="top" wrapText="1"/>
    </xf>
    <xf numFmtId="0" fontId="0" fillId="0" borderId="26" pivotButton="0" quotePrefix="0" xfId="0"/>
    <xf numFmtId="0" fontId="0" fillId="0" borderId="27" pivotButton="0" quotePrefix="0" xfId="0"/>
    <xf numFmtId="0" fontId="0" fillId="0" borderId="20" pivotButton="0" quotePrefix="0" xfId="0"/>
    <xf numFmtId="0" fontId="0" fillId="0" borderId="21" pivotButton="0" quotePrefix="0" xfId="0"/>
    <xf numFmtId="0" fontId="6" fillId="16" borderId="12" applyAlignment="1" pivotButton="0" quotePrefix="0" xfId="0">
      <alignment vertical="top" wrapText="1"/>
    </xf>
    <xf numFmtId="0" fontId="6" fillId="16" borderId="15" applyAlignment="1" pivotButton="0" quotePrefix="0" xfId="0">
      <alignment vertical="top" wrapText="1"/>
    </xf>
    <xf numFmtId="0" fontId="6" fillId="17" borderId="15" applyAlignment="1" pivotButton="0" quotePrefix="0" xfId="0">
      <alignment vertical="top" wrapText="1"/>
    </xf>
    <xf numFmtId="0" fontId="6" fillId="17" borderId="18" applyAlignment="1" pivotButton="0" quotePrefix="0" xfId="0">
      <alignment vertical="top" wrapText="1"/>
    </xf>
    <xf numFmtId="1" fontId="0" fillId="0" borderId="0" applyAlignment="1" pivotButton="0" quotePrefix="0" xfId="0">
      <alignment horizontal="center" vertical="center"/>
    </xf>
  </cellXfs>
  <cellStyles count="1">
    <cellStyle name="Normal" xfId="0"/>
  </cellStyles>
  <dxfs count="20">
    <dxf>
      <font>
        <b val="1"/>
        <color rgb="FF8B1E1E"/>
      </font>
      <fill>
        <patternFill>
          <bgColor rgb="FFFBE3E3"/>
        </patternFill>
      </fill>
    </dxf>
    <dxf>
      <font>
        <color rgb="FF6B4A00"/>
      </font>
      <fill>
        <patternFill>
          <bgColor rgb="FFFFF5D6"/>
        </patternFill>
      </fill>
    </dxf>
    <dxf>
      <fill>
        <patternFill>
          <bgColor rgb="FFEDF3F8"/>
        </patternFill>
      </fill>
    </dxf>
    <dxf>
      <font>
        <color rgb="FF59636B"/>
      </font>
      <fill>
        <patternFill>
          <bgColor rgb="FFF2F4F5"/>
        </patternFill>
      </fill>
    </dxf>
    <dxf>
      <font>
        <b val="1"/>
        <color rgb="FF8B1E1E"/>
      </font>
      <fill>
        <patternFill>
          <bgColor rgb="FFFBE3E3"/>
        </patternFill>
      </fill>
    </dxf>
    <dxf>
      <font>
        <color rgb="FF6B4A00"/>
      </font>
      <fill>
        <patternFill>
          <bgColor rgb="FFFFF5D6"/>
        </patternFill>
      </fill>
    </dxf>
    <dxf>
      <fill>
        <patternFill>
          <bgColor rgb="FFEDF3F8"/>
        </patternFill>
      </fill>
    </dxf>
    <dxf>
      <font>
        <color rgb="FF59636B"/>
      </font>
      <fill>
        <patternFill>
          <bgColor rgb="FFF2F4F5"/>
        </patternFill>
      </fill>
    </dxf>
    <dxf>
      <font>
        <b val="1"/>
        <color rgb="FF8B1E1E"/>
      </font>
      <fill>
        <patternFill>
          <bgColor rgb="FFFBE3E3"/>
        </patternFill>
      </fill>
    </dxf>
    <dxf>
      <font>
        <color rgb="FF6B4A00"/>
      </font>
      <fill>
        <patternFill>
          <bgColor rgb="FFFFF5D6"/>
        </patternFill>
      </fill>
    </dxf>
    <dxf>
      <fill>
        <patternFill>
          <bgColor rgb="FFEDF3F8"/>
        </patternFill>
      </fill>
    </dxf>
    <dxf>
      <font>
        <color rgb="FF59636B"/>
      </font>
      <fill>
        <patternFill>
          <bgColor rgb="FFF2F4F5"/>
        </patternFill>
      </fill>
    </dxf>
    <dxf>
      <font>
        <b val="1"/>
        <color rgb="FF8B1E1E"/>
      </font>
      <fill>
        <patternFill>
          <bgColor rgb="FFFBE3E3"/>
        </patternFill>
      </fill>
    </dxf>
    <dxf>
      <font>
        <color rgb="FF6B4A00"/>
      </font>
      <fill>
        <patternFill>
          <bgColor rgb="FFFFF5D6"/>
        </patternFill>
      </fill>
    </dxf>
    <dxf>
      <fill>
        <patternFill>
          <bgColor rgb="FFEDF3F8"/>
        </patternFill>
      </fill>
    </dxf>
    <dxf>
      <font>
        <color rgb="FF59636B"/>
      </font>
      <fill>
        <patternFill>
          <bgColor rgb="FFF2F4F5"/>
        </patternFill>
      </fill>
    </dxf>
    <dxf>
      <font>
        <b val="1"/>
        <color rgb="FF186A3B"/>
      </font>
      <fill>
        <patternFill>
          <bgColor rgb="FFDDF1E4"/>
        </patternFill>
      </fill>
    </dxf>
    <dxf>
      <font>
        <b val="1"/>
        <color rgb="FF8B1E1E"/>
      </font>
      <fill>
        <patternFill>
          <bgColor rgb="FFFBE3E3"/>
        </patternFill>
      </fill>
    </dxf>
    <dxf>
      <font>
        <b val="1"/>
        <color rgb="FF14532D"/>
      </font>
      <fill>
        <patternFill>
          <bgColor rgb="FFDDF3E4"/>
        </patternFill>
      </fill>
    </dxf>
    <dxf>
      <font>
        <b val="1"/>
        <color rgb="FF7F1D1D"/>
      </font>
      <fill>
        <patternFill>
          <bgColor rgb="FFFCE1E1"/>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TemplateMeta" displayName="TemplateMeta" ref="A4:B20" headerRowCount="1" totalsRowCount="0" totalsRowShown="0">
  <autoFilter ref="A4:B20"/>
  <tableColumns count="2">
    <tableColumn id="1" name="שדה"/>
    <tableColumn id="2" name="ערך"/>
  </tableColumns>
  <tableStyleInfo name="TableStyleMedium2" showFirstColumn="0" showLastColumn="0" showRowStripes="1" showColumnStripes="0"/>
</table>
</file>

<file path=xl/tables/table2.xml><?xml version="1.0" encoding="utf-8"?>
<table xmlns="http://schemas.openxmlformats.org/spreadsheetml/2006/main" id="2" name="TemplateAnam" displayName="TemplateAnam" ref="A4:H93" headerRowCount="1" totalsRowCount="0" totalsRowShown="0">
  <autoFilter ref="A4:H93"/>
  <tableColumns count="8">
    <tableColumn id="1" name="מזהה ערך בתיק"/>
    <tableColumn id="2" name="מזהה רכיב בסיס"/>
    <tableColumn id="3" name="כוונת הבירור"/>
    <tableColumn id="4" name="תשובת המטופל"/>
    <tableColumn id="5" name="חשיבות במקרה"/>
    <tableColumn id="6" name="היגיון למשוב"/>
    <tableColumn id="7" name="סטטוס"/>
    <tableColumn id="8" name="הערות הפעלה"/>
  </tableColumns>
  <tableStyleInfo name="TableStyleMedium2" showFirstColumn="0" showLastColumn="0" showRowStripes="1" showColumnStripes="0"/>
</table>
</file>

<file path=xl/tables/table3.xml><?xml version="1.0" encoding="utf-8"?>
<table xmlns="http://schemas.openxmlformats.org/spreadsheetml/2006/main" id="3" name="TemplatePE" displayName="TemplatePE" ref="A4:H49" headerRowCount="1" totalsRowCount="0" totalsRowShown="0">
  <autoFilter ref="A4:H49"/>
  <tableColumns count="8">
    <tableColumn id="1" name="מזהה ערך בתיק"/>
    <tableColumn id="2" name="מזהה רכיב בסיס"/>
    <tableColumn id="3" name="רכיב בדיקה"/>
    <tableColumn id="4" name="ממצא במקרה"/>
    <tableColumn id="5" name="חשיבות במקרה"/>
    <tableColumn id="6" name="היגיון למשוב"/>
    <tableColumn id="7" name="סטטוס"/>
    <tableColumn id="8" name="הערות הפעלה"/>
  </tableColumns>
  <tableStyleInfo name="TableStyleMedium2" showFirstColumn="0" showLastColumn="0" showRowStripes="1" showColumnStripes="0"/>
</table>
</file>

<file path=xl/tables/table4.xml><?xml version="1.0" encoding="utf-8"?>
<table xmlns="http://schemas.openxmlformats.org/spreadsheetml/2006/main" id="4" name="TemplateIT" displayName="TemplateIT" ref="A4:K37" headerRowCount="1" totalsRowCount="0" totalsRowShown="0">
  <autoFilter ref="A4:K37"/>
  <tableColumns count="11">
    <tableColumn id="1" name="מזהה ערך בתיק"/>
    <tableColumn id="2" name="מזהה רכיב בסיס"/>
    <tableColumn id="3" name="בדיקה או רכיב"/>
    <tableColumn id="4" name="תוצאה להצגה"/>
    <tableColumn id="5" name="ערך מספרי"/>
    <tableColumn id="6" name="יחידה"/>
    <tableColumn id="7" name="טווח ייחוס"/>
    <tableColumn id="8" name="פרשנות במקרה"/>
    <tableColumn id="9" name="חשיבות במקרה"/>
    <tableColumn id="10" name="היגיון למשוב"/>
    <tableColumn id="11" name="סטטוס"/>
  </tableColumns>
  <tableStyleInfo name="TableStyleMedium2" showFirstColumn="0" showLastColumn="0" showRowStripes="1" showColumnStripes="0"/>
</table>
</file>

<file path=xl/tables/table5.xml><?xml version="1.0" encoding="utf-8"?>
<table xmlns="http://schemas.openxmlformats.org/spreadsheetml/2006/main" id="5" name="TemplateFT" displayName="TemplateFT" ref="A4:I13" headerRowCount="1" totalsRowCount="0" totalsRowShown="0">
  <autoFilter ref="A4:I13"/>
  <tableColumns count="9">
    <tableColumn id="1" name="מזהה ערך בתיק"/>
    <tableColumn id="2" name="מזהה רכיב בסיס"/>
    <tableColumn id="3" name="בדיקה"/>
    <tableColumn id="4" name="תוצאה קבועה"/>
    <tableColumn id="5" name="זמינות"/>
    <tableColumn id="6" name="השפעה על החשיבה"/>
    <tableColumn id="7" name="חשיבות במקרה"/>
    <tableColumn id="8" name="היגיון למשוב"/>
    <tableColumn id="9" name="סטטוס"/>
  </tableColumns>
  <tableStyleInfo name="TableStyleMedium2" showFirstColumn="0" showLastColumn="0" showRowStripes="1" showColumnStripes="0"/>
</table>
</file>

<file path=xl/tables/table6.xml><?xml version="1.0" encoding="utf-8"?>
<table xmlns="http://schemas.openxmlformats.org/spreadsheetml/2006/main" id="6" name="TemplateDecisions" displayName="TemplateDecisions" ref="A4:E9" headerRowCount="1" totalsRowCount="0" totalsRowShown="0">
  <autoFilter ref="A4:E9"/>
  <tableColumns count="5">
    <tableColumn id="1" name="מזהה"/>
    <tableColumn id="2" name="שלב"/>
    <tableColumn id="3" name="פעולה או אפשרות"/>
    <tableColumn id="4" name="מעמד במקרה"/>
    <tableColumn id="5" name="היגיון צפוי"/>
  </tableColumns>
  <tableStyleInfo name="TableStyleMedium2" showFirstColumn="0" showLastColumn="0" showRowStripes="1" showColumnStripes="0"/>
</table>
</file>

<file path=xl/tables/table7.xml><?xml version="1.0" encoding="utf-8"?>
<table xmlns="http://schemas.openxmlformats.org/spreadsheetml/2006/main" id="7" name="TemplateFeedback" displayName="TemplateFeedback" ref="A4:D31" headerRowCount="1" totalsRowCount="0" totalsRowShown="0">
  <autoFilter ref="A4:D31"/>
  <tableColumns count="4">
    <tableColumn id="1" name="מזהה"/>
    <tableColumn id="2" name="תחום"/>
    <tableColumn id="3" name="סוג כלל"/>
    <tableColumn id="4" name="הנחיה למערכת"/>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25" customWidth="1" min="1" max="1"/>
    <col width="78" customWidth="1" min="2" max="2"/>
    <col width="12" customWidth="1" min="3" max="3"/>
    <col width="12" customWidth="1" min="4" max="4"/>
    <col width="12" customWidth="1" min="5" max="5"/>
    <col width="12" customWidth="1" min="6" max="6"/>
    <col width="12" customWidth="1" min="7" max="7"/>
    <col width="12" customWidth="1" min="8" max="8"/>
  </cols>
  <sheetData>
    <row r="1" ht="30" customHeight="1">
      <c r="A1" s="83" t="inlineStr">
        <is>
          <t>תבנית תיק מטופל — גרסה 2</t>
        </is>
      </c>
    </row>
    <row r="2" ht="34" customHeight="1">
      <c r="A2" s="88" t="inlineStr">
        <is>
          <t>תיק המקרה מכיל עובדות בלבד ומקושר למסד הבסיס. אין לבנות מילון ניסוחים; ה-AI מבין את שאלת התלמיד ומחזיר תשובה טבעית וממוקדת.</t>
        </is>
      </c>
    </row>
    <row r="3"/>
    <row r="4">
      <c r="A4" s="94" t="inlineStr">
        <is>
          <t>נושא</t>
        </is>
      </c>
      <c r="B4" s="94" t="inlineStr">
        <is>
          <t>הנחיה</t>
        </is>
      </c>
    </row>
    <row r="5">
      <c r="A5" s="114" t="inlineStr">
        <is>
          <t>סדר עבודה</t>
        </is>
      </c>
      <c r="B5" s="116" t="inlineStr">
        <is>
          <t>לאשר תחילה סיפור קליני, אחר כך למלא את כל מזהי הבסיס ולבסוף רובריקות ובקרת איכות.</t>
        </is>
      </c>
    </row>
    <row r="6">
      <c r="A6" s="117" t="inlineStr">
        <is>
          <t>שפה חופשית</t>
        </is>
      </c>
      <c r="B6" s="119" t="inlineStr">
        <is>
          <t>ה-AI מפרש משמעות רפואית, שגיאות כתיב, מילים נרדפות ושאלות רחבות.</t>
        </is>
      </c>
    </row>
    <row r="7">
      <c r="A7" s="117" t="inlineStr">
        <is>
          <t>מענה מטופל</t>
        </is>
      </c>
      <c r="B7" s="119" t="inlineStr">
        <is>
          <t>לענות רק למה שנשאל; אין לנדב מידע רפואי נוסף.</t>
        </is>
      </c>
    </row>
    <row r="8">
      <c r="A8" s="117" t="inlineStr">
        <is>
          <t>עובדה חסרה</t>
        </is>
      </c>
      <c r="B8" s="119" t="inlineStr">
        <is>
          <t>אם הכוונה ברורה אך המידע אינו בתיק: לא ידוע לי / איני זוכר.</t>
        </is>
      </c>
    </row>
    <row r="9">
      <c r="A9" s="117" t="inlineStr">
        <is>
          <t>עולם סגור</t>
        </is>
      </c>
      <c r="B9" s="119" t="inlineStr">
        <is>
          <t>אין להמציא עובדות; מותר לנסח מחדש עובדה מאושרת באופן טבעי.</t>
        </is>
      </c>
    </row>
    <row r="10">
      <c r="A10" s="117" t="inlineStr">
        <is>
          <t>בדיקות דם</t>
        </is>
      </c>
      <c r="B10" s="119" t="inlineStr">
        <is>
          <t>כל ערך מספרי כולל יחידה וטווח ייחוס של אותה מעבדה.</t>
        </is>
      </c>
    </row>
    <row r="11">
      <c r="A11" s="117" t="inlineStr">
        <is>
          <t>בדיקות המשך</t>
        </is>
      </c>
      <c r="B11" s="119" t="inlineStr">
        <is>
          <t>לפני מסירת תוצאות התלמיד מחליט מה לעשות כעת; אחר כך מוצג שחלף שבוע.</t>
        </is>
      </c>
    </row>
    <row r="12">
      <c r="A12" s="117" t="inlineStr">
        <is>
          <t>PDF ביניים</t>
        </is>
      </c>
      <c r="B12" s="119" t="inlineStr">
        <is>
          <t>בכל שלב ניתן להפיק PDF הכולל את כל המידע והמשוב שנצברו עד אותה נקודה.</t>
        </is>
      </c>
    </row>
    <row r="13">
      <c r="A13" s="117" t="inlineStr">
        <is>
          <t>רמות חשיבות</t>
        </is>
      </c>
      <c r="B13" s="119" t="inlineStr">
        <is>
          <t>חיוני במקרה / חשוב / משלים / בדרך כלל לא מרכזי בלבד.</t>
        </is>
      </c>
    </row>
    <row r="14">
      <c r="A14" s="120" t="inlineStr">
        <is>
          <t>אישור</t>
        </is>
      </c>
      <c r="B14" s="122" t="inlineStr">
        <is>
          <t>כל הבדיקות מאושרות בפיילוט; תנאי אישור עתידיים אינם פעילים.</t>
        </is>
      </c>
    </row>
    <row r="15">
      <c r="A15" s="135" t="inlineStr">
        <is>
          <t>מקור אמת מספרי</t>
        </is>
      </c>
      <c r="B15" s="135" t="inlineStr">
        <is>
          <t>ערכי מטופל, יחידות וטווחים מוזנים רק בגיליון תוצאות_מספריות; בדיקות_מיידיות מכיל הגדרה ופרשנות בלבד.</t>
        </is>
      </c>
      <c r="C15" s="135" t="n"/>
      <c r="D15" s="135" t="n"/>
      <c r="E15" s="135" t="n"/>
      <c r="F15" s="135" t="n"/>
      <c r="G15" s="135" t="n"/>
      <c r="H15" s="135" t="n"/>
    </row>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32" customWidth="1" min="1" max="1"/>
    <col width="78" customWidth="1" min="2" max="2"/>
  </cols>
  <sheetData>
    <row r="1" ht="30" customHeight="1">
      <c r="A1" s="4" t="inlineStr">
        <is>
          <t>מטא-נתונים ופתיחת המקרה</t>
        </is>
      </c>
    </row>
    <row r="2" ht="34" customHeight="1">
      <c r="A2" s="9" t="inlineStr">
        <is>
          <t>רק נוסח הפתיחה נחשף אוטומטית לתלמיד; יתר השדות פנימיים.</t>
        </is>
      </c>
    </row>
    <row r="3"/>
    <row r="4" ht="36" customHeight="1">
      <c r="A4" s="20" t="inlineStr">
        <is>
          <t>שדה</t>
        </is>
      </c>
      <c r="B4" s="20" t="inlineStr">
        <is>
          <t>ערך</t>
        </is>
      </c>
    </row>
    <row r="5">
      <c r="A5" s="40" t="inlineStr">
        <is>
          <t>מזהה מקרה</t>
        </is>
      </c>
      <c r="B5" s="46" t="inlineStr">
        <is>
          <t>CASE-004</t>
        </is>
      </c>
    </row>
    <row r="6">
      <c r="A6" s="42" t="inlineStr">
        <is>
          <t>שיוך למסד המחלות</t>
        </is>
      </c>
      <c r="B6" s="158" t="inlineStr">
        <is>
          <t>אין שיוך במסד הכללי (מקרה חדש)</t>
        </is>
      </c>
    </row>
    <row r="7">
      <c r="A7" s="42" t="inlineStr">
        <is>
          <t>אבחנה ידועה למערכת</t>
        </is>
      </c>
      <c r="B7" s="158" t="inlineStr">
        <is>
          <t>אי־ספיקת לב דו־צדדית המתגלית לראשונה, עם החמרה חריפה על רקע פגיעה כרונית בשריר הלב לאחר אוטם קודם; HFrEF, EF 32%.</t>
        </is>
      </c>
    </row>
    <row r="8">
      <c r="A8" s="42" t="inlineStr">
        <is>
          <t>ראשי תיבות מטופל</t>
        </is>
      </c>
      <c r="B8" s="158" t="inlineStr">
        <is>
          <t>א.ק.</t>
        </is>
      </c>
    </row>
    <row r="9">
      <c r="A9" s="42" t="inlineStr">
        <is>
          <t>גיל</t>
        </is>
      </c>
      <c r="B9" s="158" t="inlineStr">
        <is>
          <t>70</t>
        </is>
      </c>
    </row>
    <row r="10">
      <c r="A10" s="42" t="inlineStr">
        <is>
          <t>מין</t>
        </is>
      </c>
      <c r="B10" s="158" t="inlineStr">
        <is>
          <t>גבר</t>
        </is>
      </c>
    </row>
    <row r="11">
      <c r="A11" s="42" t="inlineStr">
        <is>
          <t>מצב בזמן הכניסה</t>
        </is>
      </c>
      <c r="B11" s="158" t="inlineStr">
        <is>
          <t>ערני ומתמצא, חרד וקצר נשימה, יושב זקוף ומתקשה לשכב; מצב יציב מבחינת זילוח, אך זקוק להערכה וטיפול דחופים ולאשפוז.</t>
        </is>
      </c>
    </row>
    <row r="12">
      <c r="A12" s="42" t="inlineStr">
        <is>
          <t>נוסח פתיחה לתלמיד</t>
        </is>
      </c>
      <c r="B12" s="158" t="inlineStr">
        <is>
          <t>א.ק., גבר בן 70, הגיע בשל קושי בנשימה המחמיר במיוחד בלילה ובשכיבה.</t>
        </is>
      </c>
    </row>
    <row r="13">
      <c r="A13" s="42" t="inlineStr">
        <is>
          <t>אמת קלינית</t>
        </is>
      </c>
      <c r="B13" s="158" t="inlineStr">
        <is>
          <t>אי־ספיקת לב דו־צדדית עם ירידה בתפקוד הסיסטולי של חדר שמאל (EF 32%) ופגיעה בתפקוד חדר ימין, המאובחנת לראשונה כעת ומוחמרת בימים האחרונים. ברקע אוטם לפני עשור שטופל בצנתור ובתומכן פתוח, יתר לחץ דם, סוכרת, הפרעה בשומני הדם, השמנה, עישון והיענות לא עקבית לטיפול. גודש ריאתי (אורתופנאה, התעוררות לילית, חרחורים, סטורציה 90%) וגודש סיסטמי (JVP, בצקות, כבד מוגדל); ללא הלם קרדיוגני וללא ראיה מספקת לאוטם חדש. דרוש אשפוז, ניטור, טיפול בגודש ומשטר תרופתי לפי החומר הנלמד.</t>
        </is>
      </c>
    </row>
    <row r="14">
      <c r="A14" s="42" t="inlineStr">
        <is>
          <t>מטרת למידה</t>
        </is>
      </c>
      <c r="B14" s="158" t="inlineStr">
        <is>
          <t>לזהות אי־ספיקת לב שמאלית וימנית מן הסיפור והממצאים; להבחין בין סימני גודש ריאתי ומערכתי; לבחור בדיקות רלוונטיות, לפרש אקו EF 32% ולתכנן אשפוז, טיפול ומעקב.</t>
        </is>
      </c>
    </row>
    <row r="15">
      <c r="A15" s="42" t="inlineStr">
        <is>
          <t>מצב דינמי</t>
        </is>
      </c>
      <c r="B15" s="47" t="inlineStr">
        <is>
          <t>אין שינוי במהלך הקבלה, אלא אם אושר אחרת</t>
        </is>
      </c>
    </row>
    <row r="16">
      <c r="A16" s="42" t="inlineStr">
        <is>
          <t>אישור בדיקות בפיילוט</t>
        </is>
      </c>
      <c r="B16" s="47" t="inlineStr">
        <is>
          <t>כל הבדיקות מאושרות; מידתיותן נבחנת במשוב</t>
        </is>
      </c>
    </row>
    <row r="17">
      <c r="A17" s="42" t="inlineStr">
        <is>
          <t>משך שמירה</t>
        </is>
      </c>
      <c r="B17" s="47" t="n">
        <v>14</v>
      </c>
    </row>
    <row r="18">
      <c r="A18" s="42" t="inlineStr">
        <is>
          <t>יחידת משך שמירה</t>
        </is>
      </c>
      <c r="B18" s="47" t="inlineStr">
        <is>
          <t>ימים</t>
        </is>
      </c>
    </row>
    <row r="19">
      <c r="A19" s="42" t="inlineStr">
        <is>
          <t>גרסת תיק</t>
        </is>
      </c>
      <c r="B19" s="47" t="inlineStr">
        <is>
          <t>0.1</t>
        </is>
      </c>
    </row>
    <row r="20">
      <c r="A20" s="44" t="inlineStr">
        <is>
          <t>סטטוס</t>
        </is>
      </c>
      <c r="B20" s="48" t="inlineStr">
        <is>
          <t>מאושר לבניית אב-טיפוס</t>
        </is>
      </c>
    </row>
    <row r="21">
      <c r="A21" s="114" t="inlineStr">
        <is>
          <t>מנוע שיחה</t>
        </is>
      </c>
      <c r="B21" s="116" t="inlineStr">
        <is>
          <t>AI סמנטי לפי מדיניות_AI במסד הבסיס</t>
        </is>
      </c>
    </row>
    <row r="22">
      <c r="A22" s="117" t="inlineStr">
        <is>
          <t>מענה יזום</t>
        </is>
      </c>
      <c r="B22" s="119" t="inlineStr">
        <is>
          <t>אין לנדב מידע שלא נשאל</t>
        </is>
      </c>
    </row>
    <row r="23">
      <c r="A23" s="117" t="inlineStr">
        <is>
          <t>נקודת החלטה לפני המשך</t>
        </is>
      </c>
      <c r="B23" s="119" t="inlineStr">
        <is>
          <t>חובה לפני הצגת תוצאות בדיקות ההמשך</t>
        </is>
      </c>
    </row>
    <row r="24">
      <c r="A24" s="117" t="inlineStr">
        <is>
          <t>PDF ביניים</t>
        </is>
      </c>
      <c r="B24" s="119" t="inlineStr">
        <is>
          <t>זמין בכל שלב עם משוב עד כה</t>
        </is>
      </c>
    </row>
    <row r="25">
      <c r="A25" s="120" t="inlineStr">
        <is>
          <t>גרסת תבנית</t>
        </is>
      </c>
      <c r="B25" s="122" t="inlineStr">
        <is>
          <t>2.1</t>
        </is>
      </c>
    </row>
    <row r="26" ht="42" customHeight="1">
      <c r="A26" s="135" t="inlineStr">
        <is>
          <t>פרסונה קצרה</t>
        </is>
      </c>
      <c r="B26" s="159" t="inlineStr">
        <is>
          <t>רואה חשבון בגמלאות, יליד משפחה עיראקית, נשוי וסב לשני נכדים. חברותי, פטפטן, חרד ודואג לחזור לבית החולים; לפעמים סוטה לסיפורים על אשתו, מאפים, נכדיו ועבודתו, אך עונה לעניין. מדבר עברית יומיומית ולא מונחים מקצועיים; אינו מקפיד תמיד על נטילת התרופות ועל המלצות אורח חיים. כאשר הוא קצר נשימה משפטיו מתקצרים.</t>
        </is>
      </c>
    </row>
  </sheetData>
  <mergeCells count="2">
    <mergeCell ref="A2:B2"/>
    <mergeCell ref="A1:B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93"/>
  <sheetViews>
    <sheetView showGridLines="0" workbookViewId="0">
      <selection activeCell="A1" sqref="A1"/>
    </sheetView>
  </sheetViews>
  <sheetFormatPr baseColWidth="8" defaultRowHeight="15"/>
  <cols>
    <col width="16.67000007629395" customWidth="1" min="1" max="1"/>
    <col width="12.22000026702881" customWidth="1" min="2" max="2"/>
    <col width="26.67000007629395" customWidth="1" min="3" max="3"/>
    <col width="47.77999877929688" customWidth="1" min="4" max="4"/>
    <col width="13.89000034332275" customWidth="1" min="5" max="5"/>
    <col width="37.77999877929688" customWidth="1" min="6" max="6"/>
    <col width="10" customWidth="1" min="7" max="7"/>
    <col width="27.78000068664551" customWidth="1" min="8" max="8"/>
  </cols>
  <sheetData>
    <row r="1" ht="30" customHeight="1">
      <c r="A1" s="4" t="inlineStr">
        <is>
          <t>תבנית אנמנזה</t>
        </is>
      </c>
    </row>
    <row r="2" ht="34" customHeight="1">
      <c r="A2" s="9" t="inlineStr">
        <is>
          <t>כל 89 מזהי האנמנזה קיימים. מלאו תשובה בגוף ראשון, חשיבות והיגיון.</t>
        </is>
      </c>
    </row>
    <row r="3"/>
    <row r="4" ht="36" customHeight="1">
      <c r="A4" s="20" t="inlineStr">
        <is>
          <t>מזהה ערך בתיק</t>
        </is>
      </c>
      <c r="B4" s="20" t="inlineStr">
        <is>
          <t>מזהה רכיב בסיס</t>
        </is>
      </c>
      <c r="C4" s="20" t="inlineStr">
        <is>
          <t>כוונת הבירור</t>
        </is>
      </c>
      <c r="D4" s="20" t="inlineStr">
        <is>
          <t>תשובת המטופל</t>
        </is>
      </c>
      <c r="E4" s="20" t="inlineStr">
        <is>
          <t>חשיבות במקרה</t>
        </is>
      </c>
      <c r="F4" s="20" t="inlineStr">
        <is>
          <t>היגיון למשוב</t>
        </is>
      </c>
      <c r="G4" s="20" t="inlineStr">
        <is>
          <t>סטטוס</t>
        </is>
      </c>
      <c r="H4" s="20" t="inlineStr">
        <is>
          <t>הערות הפעלה</t>
        </is>
      </c>
    </row>
    <row r="5">
      <c r="A5" s="40" t="inlineStr">
        <is>
          <t>CASE-004-AN-001</t>
        </is>
      </c>
      <c r="B5" s="58" t="inlineStr">
        <is>
          <t>AN-001</t>
        </is>
      </c>
      <c r="C5" s="58" t="inlineStr">
        <is>
          <t>גיל</t>
        </is>
      </c>
      <c r="D5" s="160" t="inlineStr">
        <is>
          <t>אני בן שבעים, מי היה מאמין. מרגיש לפעמים מבוגר בעשר שנים ממה שכתוב בתעודה.</t>
        </is>
      </c>
      <c r="E5" s="160" t="inlineStr">
        <is>
          <t>משלים</t>
        </is>
      </c>
      <c r="F5" s="160" t="inlineStr">
        <is>
          <t>בירור גיל עשוי להוסיף הקשר, אך אינו מרכזי לזיהוי סיבת קוצר הנשימה במקרה זה.</t>
        </is>
      </c>
      <c r="G5" s="61" t="inlineStr">
        <is>
          <t>מאושר</t>
        </is>
      </c>
      <c r="H5" s="46" t="inlineStr">
        <is>
          <t>לענות רק למה שנשאל; מותר לנסח באופן טבעי בלי להוסיף עובדות.</t>
        </is>
      </c>
    </row>
    <row r="6">
      <c r="A6" s="42" t="inlineStr">
        <is>
          <t>CASE-004-AN-002</t>
        </is>
      </c>
      <c r="B6" s="59" t="inlineStr">
        <is>
          <t>AN-002</t>
        </is>
      </c>
      <c r="C6" s="59" t="inlineStr">
        <is>
          <t>מין</t>
        </is>
      </c>
      <c r="D6" s="161" t="inlineStr">
        <is>
          <t>אני זכר, כן. עכשיו עם הנשימה הזאת אני בעיקר דואג.</t>
        </is>
      </c>
      <c r="E6" s="161" t="inlineStr">
        <is>
          <t>משלים</t>
        </is>
      </c>
      <c r="F6" s="161" t="inlineStr">
        <is>
          <t>בירור מין עשוי להוסיף הקשר, אך אינו מרכזי לזיהוי סיבת קוצר הנשימה במקרה זה.</t>
        </is>
      </c>
      <c r="G6" s="62" t="inlineStr">
        <is>
          <t>מאושר</t>
        </is>
      </c>
      <c r="H6" s="47" t="inlineStr">
        <is>
          <t>לענות רק למה שנשאל; מותר לנסח באופן טבעי בלי להוסיף עובדות.</t>
        </is>
      </c>
    </row>
    <row r="7">
      <c r="A7" s="42" t="inlineStr">
        <is>
          <t>CASE-004-AN-003</t>
        </is>
      </c>
      <c r="B7" s="59" t="inlineStr">
        <is>
          <t>AN-003</t>
        </is>
      </c>
      <c r="C7" s="59" t="inlineStr">
        <is>
          <t>מוצא</t>
        </is>
      </c>
      <c r="D7" s="161" t="inlineStr">
        <is>
          <t>המשפחה שלי במקור מעיראק; גדלתי כאן, והבית שלנו תמיד היה מלא אנשים ואוכל.</t>
        </is>
      </c>
      <c r="E7" s="161" t="inlineStr">
        <is>
          <t>משלים</t>
        </is>
      </c>
      <c r="F7" s="161" t="inlineStr">
        <is>
          <t>בירור מוצא עשוי להוסיף הקשר, אך אינו מרכזי לזיהוי סיבת קוצר הנשימה במקרה זה.</t>
        </is>
      </c>
      <c r="G7" s="62" t="inlineStr">
        <is>
          <t>מאושר</t>
        </is>
      </c>
      <c r="H7" s="47" t="inlineStr">
        <is>
          <t>לענות רק למה שנשאל; מותר לנסח באופן טבעי בלי להוסיף עובדות.</t>
        </is>
      </c>
    </row>
    <row r="8">
      <c r="A8" s="42" t="inlineStr">
        <is>
          <t>CASE-004-AN-004</t>
        </is>
      </c>
      <c r="B8" s="59" t="inlineStr">
        <is>
          <t>AN-004</t>
        </is>
      </c>
      <c r="C8" s="59" t="inlineStr">
        <is>
          <t>מצב משפחתי ותמיכה בבית</t>
        </is>
      </c>
      <c r="D8" s="161" t="inlineStr">
        <is>
          <t>אני נשוי, אשתי איתי בבית. יש לנו שני ילדים ושני נכדים; הבת מתקשרת כל ערב לבדוק אותי.</t>
        </is>
      </c>
      <c r="E8" s="161" t="inlineStr">
        <is>
          <t>משלים</t>
        </is>
      </c>
      <c r="F8" s="161" t="inlineStr">
        <is>
          <t>בירור מצב משפחתי ותמיכה בבית עשוי להוסיף הקשר, אך אינו מרכזי לזיהוי סיבת קוצר הנשימה במקרה זה.</t>
        </is>
      </c>
      <c r="G8" s="62" t="inlineStr">
        <is>
          <t>מאושר</t>
        </is>
      </c>
      <c r="H8" s="47" t="inlineStr">
        <is>
          <t>לענות רק למה שנשאל; מותר לנסח באופן טבעי בלי להוסיף עובדות.</t>
        </is>
      </c>
    </row>
    <row r="9">
      <c r="A9" s="42" t="inlineStr">
        <is>
          <t>CASE-004-AN-005</t>
        </is>
      </c>
      <c r="B9" s="59" t="inlineStr">
        <is>
          <t>AN-005</t>
        </is>
      </c>
      <c r="C9" s="59" t="inlineStr">
        <is>
          <t>מקצוע ואופי העבודה</t>
        </is>
      </c>
      <c r="D9" s="161" t="inlineStr">
        <is>
          <t>הייתי רואה חשבון כל החיים, ישבתי שעות במשרד. מאז שפרשתי אני בעיקר בבית.</t>
        </is>
      </c>
      <c r="E9" s="161" t="inlineStr">
        <is>
          <t>בדרך כלל לא מרכזי</t>
        </is>
      </c>
      <c r="F9" s="161" t="inlineStr">
        <is>
          <t>בירור מקצוע ואופי העבודה עשוי להוסיף הקשר, אך אינו מרכזי לזיהוי סיבת קוצר הנשימה במקרה זה.</t>
        </is>
      </c>
      <c r="G9" s="62" t="inlineStr">
        <is>
          <t>מאושר</t>
        </is>
      </c>
      <c r="H9" s="47" t="inlineStr">
        <is>
          <t>לענות רק למה שנשאל; מותר לנסח באופן טבעי בלי להוסיף עובדות.</t>
        </is>
      </c>
    </row>
    <row r="10">
      <c r="A10" s="42" t="inlineStr">
        <is>
          <t>CASE-004-AN-006</t>
        </is>
      </c>
      <c r="B10" s="59" t="inlineStr">
        <is>
          <t>AN-006</t>
        </is>
      </c>
      <c r="C10" s="59" t="inlineStr">
        <is>
          <t>הסיבה שבגללה הגיע כעת</t>
        </is>
      </c>
      <c r="D10" s="161" t="inlineStr">
        <is>
          <t>לא הצלחתי לנשום בלילה, כאילו אין לי מספיק אוויר. אשתי אמרה שהפעם לא מתווכחים ונוסעים.</t>
        </is>
      </c>
      <c r="E10" s="161" t="inlineStr">
        <is>
          <t>חיוני במקרה</t>
        </is>
      </c>
      <c r="F10" s="161" t="inlineStr">
        <is>
          <t>בירור הסיבה שבגללה הגיע כעת מסייע לזהות את חומרת קוצר הנשימה, הגודש או הרקע הלבבי, ולכן משמעותי בקבלת ההחלטות.</t>
        </is>
      </c>
      <c r="G10" s="62" t="inlineStr">
        <is>
          <t>מאושר</t>
        </is>
      </c>
      <c r="H10" s="47" t="inlineStr">
        <is>
          <t>לענות רק למה שנשאל; מותר לנסח באופן טבעי בלי להוסיף עובדות.</t>
        </is>
      </c>
    </row>
    <row r="11">
      <c r="A11" s="42" t="inlineStr">
        <is>
          <t>CASE-004-AN-007</t>
        </is>
      </c>
      <c r="B11" s="59" t="inlineStr">
        <is>
          <t>AN-007</t>
        </is>
      </c>
      <c r="C11" s="59" t="inlineStr">
        <is>
          <t>התסמין הדומיננטי</t>
        </is>
      </c>
      <c r="D11" s="161" t="inlineStr">
        <is>
          <t>הבעיה העיקרית היא הנשימה, במיוחד כשאני מנסה לשכב לישון.</t>
        </is>
      </c>
      <c r="E11" s="161" t="inlineStr">
        <is>
          <t>חיוני במקרה</t>
        </is>
      </c>
      <c r="F11" s="161" t="inlineStr">
        <is>
          <t>בירור התסמין הדומיננטי מסייע לזהות את חומרת קוצר הנשימה, הגודש או הרקע הלבבי, ולכן משמעותי בקבלת ההחלטות.</t>
        </is>
      </c>
      <c r="G11" s="62" t="inlineStr">
        <is>
          <t>מאושר</t>
        </is>
      </c>
      <c r="H11" s="47" t="inlineStr">
        <is>
          <t>לענות רק למה שנשאל; מותר לנסח באופן טבעי בלי להוסיף עובדות.</t>
        </is>
      </c>
    </row>
    <row r="12">
      <c r="A12" s="42" t="inlineStr">
        <is>
          <t>CASE-004-AN-008</t>
        </is>
      </c>
      <c r="B12" s="59" t="inlineStr">
        <is>
          <t>AN-008</t>
        </is>
      </c>
      <c r="C12" s="59" t="inlineStr">
        <is>
          <t>מדוע פנה דווקא עכשיו</t>
        </is>
      </c>
      <c r="D12" s="161" t="inlineStr">
        <is>
          <t>בשלושת הימים האחרונים אני מתעורר שוב ושוב ונחנק. זה ממש הפחיד אותי.</t>
        </is>
      </c>
      <c r="E12" s="161" t="inlineStr">
        <is>
          <t>חיוני במקרה</t>
        </is>
      </c>
      <c r="F12" s="161" t="inlineStr">
        <is>
          <t>בירור מדוע פנה דווקא עכשיו מסייע לזהות את חומרת קוצר הנשימה, הגודש או הרקע הלבבי, ולכן משמעותי בקבלת ההחלטות.</t>
        </is>
      </c>
      <c r="G12" s="62" t="inlineStr">
        <is>
          <t>מאושר</t>
        </is>
      </c>
      <c r="H12" s="47" t="inlineStr">
        <is>
          <t>לענות רק למה שנשאל; מותר לנסח באופן טבעי בלי להוסיף עובדות.</t>
        </is>
      </c>
    </row>
    <row r="13">
      <c r="A13" s="42" t="inlineStr">
        <is>
          <t>CASE-004-AN-009</t>
        </is>
      </c>
      <c r="B13" s="59" t="inlineStr">
        <is>
          <t>AN-009</t>
        </is>
      </c>
      <c r="C13" s="59" t="inlineStr">
        <is>
          <t>מועד תחילת התסמין</t>
        </is>
      </c>
      <c r="D13" s="161" t="inlineStr">
        <is>
          <t>לפני כמה שבועות התחיל להיות לי קשה לעלות מדרגות; בלילות האחרונים זה הרבה יותר גרוע.</t>
        </is>
      </c>
      <c r="E13" s="161" t="inlineStr">
        <is>
          <t>חיוני במקרה</t>
        </is>
      </c>
      <c r="F13" s="161" t="inlineStr">
        <is>
          <t>בירור מועד תחילת התסמין מסייע לזהות את חומרת קוצר הנשימה, הגודש או הרקע הלבבי, ולכן משמעותי בקבלת ההחלטות.</t>
        </is>
      </c>
      <c r="G13" s="62" t="inlineStr">
        <is>
          <t>מאושר</t>
        </is>
      </c>
      <c r="H13" s="47" t="inlineStr">
        <is>
          <t>לענות רק למה שנשאל; מותר לנסח באופן טבעי בלי להוסיף עובדות.</t>
        </is>
      </c>
    </row>
    <row r="14">
      <c r="A14" s="42" t="inlineStr">
        <is>
          <t>CASE-004-AN-010</t>
        </is>
      </c>
      <c r="B14" s="59" t="inlineStr">
        <is>
          <t>AN-010</t>
        </is>
      </c>
      <c r="C14" s="59" t="inlineStr">
        <is>
          <t>התחלה פתאומית או הדרגתית</t>
        </is>
      </c>
      <c r="D14" s="161" t="inlineStr">
        <is>
          <t>בהתחלה זה הגיע לאט, אבל בימים האחרונים החמיר ממש.</t>
        </is>
      </c>
      <c r="E14" s="161" t="inlineStr">
        <is>
          <t>חיוני במקרה</t>
        </is>
      </c>
      <c r="F14" s="161" t="inlineStr">
        <is>
          <t>בירור התחלה פתאומית או הדרגתית מסייע לזהות את חומרת קוצר הנשימה, הגודש או הרקע הלבבי, ולכן משמעותי בקבלת ההחלטות.</t>
        </is>
      </c>
      <c r="G14" s="62" t="inlineStr">
        <is>
          <t>מאושר</t>
        </is>
      </c>
      <c r="H14" s="47" t="inlineStr">
        <is>
          <t>לענות רק למה שנשאל; מותר לנסח באופן טבעי בלי להוסיף עובדות.</t>
        </is>
      </c>
    </row>
    <row r="15">
      <c r="A15" s="42" t="inlineStr">
        <is>
          <t>CASE-004-AN-011</t>
        </is>
      </c>
      <c r="B15" s="59" t="inlineStr">
        <is>
          <t>AN-011</t>
        </is>
      </c>
      <c r="C15" s="59" t="inlineStr">
        <is>
          <t>מיקום התסמין</t>
        </is>
      </c>
      <c r="D15" s="161" t="inlineStr">
        <is>
          <t>זה לא כאב בנקודה מסוימת; זו תחושה שבית החזה לא מקבל אוויר.</t>
        </is>
      </c>
      <c r="E15" s="161" t="inlineStr">
        <is>
          <t>משלים</t>
        </is>
      </c>
      <c r="F15" s="161" t="inlineStr">
        <is>
          <t>בירור מיקום התסמין עשוי להוסיף הקשר, אך אינו מרכזי לזיהוי סיבת קוצר הנשימה במקרה זה.</t>
        </is>
      </c>
      <c r="G15" s="62" t="inlineStr">
        <is>
          <t>מאושר</t>
        </is>
      </c>
      <c r="H15" s="47" t="inlineStr">
        <is>
          <t>לענות רק למה שנשאל; מותר לנסח באופן טבעי בלי להוסיף עובדות.</t>
        </is>
      </c>
    </row>
    <row r="16">
      <c r="A16" s="42" t="inlineStr">
        <is>
          <t>CASE-004-AN-012</t>
        </is>
      </c>
      <c r="B16" s="59" t="inlineStr">
        <is>
          <t>AN-012</t>
        </is>
      </c>
      <c r="C16" s="59" t="inlineStr">
        <is>
          <t>הקרנה</t>
        </is>
      </c>
      <c r="D16" s="161" t="inlineStr">
        <is>
          <t>אין לי כאב שמקרין ליד או ללסת, רק הנשימה לא מסתדרת.</t>
        </is>
      </c>
      <c r="E16" s="161" t="inlineStr">
        <is>
          <t>משלים</t>
        </is>
      </c>
      <c r="F16" s="161" t="inlineStr">
        <is>
          <t>בירור הקרנה עשוי להוסיף הקשר, אך אינו מרכזי לזיהוי סיבת קוצר הנשימה במקרה זה.</t>
        </is>
      </c>
      <c r="G16" s="62" t="inlineStr">
        <is>
          <t>מאושר</t>
        </is>
      </c>
      <c r="H16" s="47" t="inlineStr">
        <is>
          <t>לענות רק למה שנשאל; מותר לנסח באופן טבעי בלי להוסיף עובדות.</t>
        </is>
      </c>
    </row>
    <row r="17">
      <c r="A17" s="42" t="inlineStr">
        <is>
          <t>CASE-004-AN-013</t>
        </is>
      </c>
      <c r="B17" s="59" t="inlineStr">
        <is>
          <t>AN-013</t>
        </is>
      </c>
      <c r="C17" s="59" t="inlineStr">
        <is>
          <t>איכות התחושה</t>
        </is>
      </c>
      <c r="D17" s="161" t="inlineStr">
        <is>
          <t>כמו מחנק וכובד בנשימה, בעיקר כשאני נשכב. קשה לי להסביר.</t>
        </is>
      </c>
      <c r="E17" s="161" t="inlineStr">
        <is>
          <t>משלים</t>
        </is>
      </c>
      <c r="F17" s="161" t="inlineStr">
        <is>
          <t>בירור איכות התחושה עשוי להוסיף הקשר, אך אינו מרכזי לזיהוי סיבת קוצר הנשימה במקרה זה.</t>
        </is>
      </c>
      <c r="G17" s="62" t="inlineStr">
        <is>
          <t>מאושר</t>
        </is>
      </c>
      <c r="H17" s="47" t="inlineStr">
        <is>
          <t>לענות רק למה שנשאל; מותר לנסח באופן טבעי בלי להוסיף עובדות.</t>
        </is>
      </c>
    </row>
    <row r="18">
      <c r="A18" s="42" t="inlineStr">
        <is>
          <t>CASE-004-AN-014</t>
        </is>
      </c>
      <c r="B18" s="59" t="inlineStr">
        <is>
          <t>AN-014</t>
        </is>
      </c>
      <c r="C18" s="59" t="inlineStr">
        <is>
          <t>עוצמת התסמין</t>
        </is>
      </c>
      <c r="D18" s="161" t="inlineStr">
        <is>
          <t>בלילה זה בערך שמונה מתוך עשר מבחינתי, אני ממש נבהל.</t>
        </is>
      </c>
      <c r="E18" s="161" t="inlineStr">
        <is>
          <t>משלים</t>
        </is>
      </c>
      <c r="F18" s="161" t="inlineStr">
        <is>
          <t>בירור עוצמת התסמין עשוי להוסיף הקשר, אך אינו מרכזי לזיהוי סיבת קוצר הנשימה במקרה זה.</t>
        </is>
      </c>
      <c r="G18" s="62" t="inlineStr">
        <is>
          <t>מאושר</t>
        </is>
      </c>
      <c r="H18" s="47" t="inlineStr">
        <is>
          <t>לענות רק למה שנשאל; מותר לנסח באופן טבעי בלי להוסיף עובדות.</t>
        </is>
      </c>
    </row>
    <row r="19">
      <c r="A19" s="42" t="inlineStr">
        <is>
          <t>CASE-004-AN-015</t>
        </is>
      </c>
      <c r="B19" s="59" t="inlineStr">
        <is>
          <t>AN-015</t>
        </is>
      </c>
      <c r="C19" s="59" t="inlineStr">
        <is>
          <t>משך כל אירוע</t>
        </is>
      </c>
      <c r="D19" s="161" t="inlineStr">
        <is>
          <t>לפעמים עשר או עשרים דקות עד שאני מצליח לשבת ולהירגע, ולעיתים קוצר הנשימה נמשך גם אחר כך.</t>
        </is>
      </c>
      <c r="E19" s="161" t="inlineStr">
        <is>
          <t>חשוב</t>
        </is>
      </c>
      <c r="F19" s="161" t="inlineStr">
        <is>
          <t>בירור משך כל אירוע משלים את הערכת גורמי הסיכון, מחלות הרקע, האבחנה המבדלת או התפקוד היומיומי.</t>
        </is>
      </c>
      <c r="G19" s="62" t="inlineStr">
        <is>
          <t>מאושר</t>
        </is>
      </c>
      <c r="H19" s="47" t="inlineStr">
        <is>
          <t>לענות רק למה שנשאל; מותר לנסח באופן טבעי בלי להוסיף עובדות.</t>
        </is>
      </c>
    </row>
    <row r="20">
      <c r="A20" s="42" t="inlineStr">
        <is>
          <t>CASE-004-AN-016</t>
        </is>
      </c>
      <c r="B20" s="59" t="inlineStr">
        <is>
          <t>AN-016</t>
        </is>
      </c>
      <c r="C20" s="59" t="inlineStr">
        <is>
          <t>תדירות</t>
        </is>
      </c>
      <c r="D20" s="161" t="inlineStr">
        <is>
          <t>בכל לילה בימים האחרונים, ובמאמץ זה כבר כמעט כל יום.</t>
        </is>
      </c>
      <c r="E20" s="161" t="inlineStr">
        <is>
          <t>חשוב</t>
        </is>
      </c>
      <c r="F20" s="161" t="inlineStr">
        <is>
          <t>בירור תדירות משלים את הערכת גורמי הסיכון, מחלות הרקע, האבחנה המבדלת או התפקוד היומיומי.</t>
        </is>
      </c>
      <c r="G20" s="62" t="inlineStr">
        <is>
          <t>מאושר</t>
        </is>
      </c>
      <c r="H20" s="47" t="inlineStr">
        <is>
          <t>לענות רק למה שנשאל; מותר לנסח באופן טבעי בלי להוסיף עובדות.</t>
        </is>
      </c>
    </row>
    <row r="21">
      <c r="A21" s="42" t="inlineStr">
        <is>
          <t>CASE-004-AN-017</t>
        </is>
      </c>
      <c r="B21" s="59" t="inlineStr">
        <is>
          <t>AN-017</t>
        </is>
      </c>
      <c r="C21" s="59" t="inlineStr">
        <is>
          <t>רציף או התקפי</t>
        </is>
      </c>
      <c r="D21" s="161" t="inlineStr">
        <is>
          <t>ביום יש קושי כמעט רצוף כשאני זז, ובלילה התקפים שמעירים אותי.</t>
        </is>
      </c>
      <c r="E21" s="161" t="inlineStr">
        <is>
          <t>חשוב</t>
        </is>
      </c>
      <c r="F21" s="161" t="inlineStr">
        <is>
          <t>בירור רציף או התקפי משלים את הערכת גורמי הסיכון, מחלות הרקע, האבחנה המבדלת או התפקוד היומיומי.</t>
        </is>
      </c>
      <c r="G21" s="62" t="inlineStr">
        <is>
          <t>מאושר</t>
        </is>
      </c>
      <c r="H21" s="47" t="inlineStr">
        <is>
          <t>לענות רק למה שנשאל; מותר לנסח באופן טבעי בלי להוסיף עובדות.</t>
        </is>
      </c>
    </row>
    <row r="22">
      <c r="A22" s="42" t="inlineStr">
        <is>
          <t>CASE-004-AN-018</t>
        </is>
      </c>
      <c r="B22" s="59" t="inlineStr">
        <is>
          <t>AN-018</t>
        </is>
      </c>
      <c r="C22" s="59" t="inlineStr">
        <is>
          <t>קשר למאמץ</t>
        </is>
      </c>
      <c r="D22" s="161" t="inlineStr">
        <is>
          <t>הליכה קצרה או מדרגות גורמות לי להתנשף. פעם הייתי עולה בלי לעצור.</t>
        </is>
      </c>
      <c r="E22" s="161" t="inlineStr">
        <is>
          <t>חיוני במקרה</t>
        </is>
      </c>
      <c r="F22" s="161" t="inlineStr">
        <is>
          <t>בירור קשר למאמץ מסייע לזהות את חומרת קוצר הנשימה, הגודש או הרקע הלבבי, ולכן משמעותי בקבלת ההחלטות.</t>
        </is>
      </c>
      <c r="G22" s="62" t="inlineStr">
        <is>
          <t>מאושר</t>
        </is>
      </c>
      <c r="H22" s="47" t="inlineStr">
        <is>
          <t>לענות רק למה שנשאל; מותר לנסח באופן טבעי בלי להוסיף עובדות.</t>
        </is>
      </c>
    </row>
    <row r="23">
      <c r="A23" s="42" t="inlineStr">
        <is>
          <t>CASE-004-AN-019</t>
        </is>
      </c>
      <c r="B23" s="59" t="inlineStr">
        <is>
          <t>AN-019</t>
        </is>
      </c>
      <c r="C23" s="59" t="inlineStr">
        <is>
          <t>קשר למתח או התרגשות</t>
        </is>
      </c>
      <c r="D23" s="161" t="inlineStr">
        <is>
          <t>כשאני נלחץ אני מרגיש את הלב דופק מהר, אבל גם כשאני רגוע קשה לי לנשום.</t>
        </is>
      </c>
      <c r="E23" s="161" t="inlineStr">
        <is>
          <t>משלים</t>
        </is>
      </c>
      <c r="F23" s="161" t="inlineStr">
        <is>
          <t>בירור קשר למתח או התרגשות עשוי להוסיף הקשר, אך אינו מרכזי לזיהוי סיבת קוצר הנשימה במקרה זה.</t>
        </is>
      </c>
      <c r="G23" s="62" t="inlineStr">
        <is>
          <t>מאושר</t>
        </is>
      </c>
      <c r="H23" s="47" t="inlineStr">
        <is>
          <t>לענות רק למה שנשאל; מותר לנסח באופן טבעי בלי להוסיף עובדות.</t>
        </is>
      </c>
    </row>
    <row r="24">
      <c r="A24" s="42" t="inlineStr">
        <is>
          <t>CASE-004-AN-020</t>
        </is>
      </c>
      <c r="B24" s="59" t="inlineStr">
        <is>
          <t>AN-020</t>
        </is>
      </c>
      <c r="C24" s="59" t="inlineStr">
        <is>
          <t>קשר לארוחה דשנה</t>
        </is>
      </c>
      <c r="D24" s="161" t="inlineStr">
        <is>
          <t>אחרי ארוחה גדולה אני מרגיש יותר מלא ולא נוח, אבל הנשימה קשה גם בלי שאכלתי.</t>
        </is>
      </c>
      <c r="E24" s="161" t="inlineStr">
        <is>
          <t>בדרך כלל לא מרכזי</t>
        </is>
      </c>
      <c r="F24" s="161" t="inlineStr">
        <is>
          <t>בירור קשר לארוחה דשנה עשוי להוסיף הקשר, אך אינו מרכזי לזיהוי סיבת קוצר הנשימה במקרה זה.</t>
        </is>
      </c>
      <c r="G24" s="62" t="inlineStr">
        <is>
          <t>מאושר</t>
        </is>
      </c>
      <c r="H24" s="47" t="inlineStr">
        <is>
          <t>לענות רק למה שנשאל; מותר לנסח באופן טבעי בלי להוסיף עובדות.</t>
        </is>
      </c>
    </row>
    <row r="25">
      <c r="A25" s="42" t="inlineStr">
        <is>
          <t>CASE-004-AN-021</t>
        </is>
      </c>
      <c r="B25" s="59" t="inlineStr">
        <is>
          <t>AN-021</t>
        </is>
      </c>
      <c r="C25" s="59" t="inlineStr">
        <is>
          <t>השפעת מנוחה</t>
        </is>
      </c>
      <c r="D25" s="161" t="inlineStr">
        <is>
          <t>כשאני יושב ונח קצת יותר קל; לשכב במיטה עושה הכול גרוע.</t>
        </is>
      </c>
      <c r="E25" s="161" t="inlineStr">
        <is>
          <t>חיוני במקרה</t>
        </is>
      </c>
      <c r="F25" s="161" t="inlineStr">
        <is>
          <t>בירור השפעת מנוחה מסייע לזהות את חומרת קוצר הנשימה, הגודש או הרקע הלבבי, ולכן משמעותי בקבלת ההחלטות.</t>
        </is>
      </c>
      <c r="G25" s="62" t="inlineStr">
        <is>
          <t>מאושר</t>
        </is>
      </c>
      <c r="H25" s="47" t="inlineStr">
        <is>
          <t>לענות רק למה שנשאל; מותר לנסח באופן טבעי בלי להוסיף עובדות.</t>
        </is>
      </c>
    </row>
    <row r="26">
      <c r="A26" s="42" t="inlineStr">
        <is>
          <t>CASE-004-AN-022</t>
        </is>
      </c>
      <c r="B26" s="59" t="inlineStr">
        <is>
          <t>AN-022</t>
        </is>
      </c>
      <c r="C26" s="59" t="inlineStr">
        <is>
          <t>השפעת ניטרוגליצרין או טיפול קודם</t>
        </is>
      </c>
      <c r="D26" s="161" t="inlineStr">
        <is>
          <t>לא לקחתי משהו מיוחד לנשימה; יש לי כדורים קבועים ללב וללחץ הדם, לא תמיד אני זוכר את כולם.</t>
        </is>
      </c>
      <c r="E26" s="161" t="inlineStr">
        <is>
          <t>משלים</t>
        </is>
      </c>
      <c r="F26" s="161" t="inlineStr">
        <is>
          <t>בירור השפעת ניטרוגליצרין או טיפול קודם עשוי להוסיף הקשר, אך אינו מרכזי לזיהוי סיבת קוצר הנשימה במקרה זה.</t>
        </is>
      </c>
      <c r="G26" s="62" t="inlineStr">
        <is>
          <t>מאושר</t>
        </is>
      </c>
      <c r="H26" s="47" t="inlineStr">
        <is>
          <t>לענות רק למה שנשאל; מותר לנסח באופן טבעי בלי להוסיף עובדות.</t>
        </is>
      </c>
    </row>
    <row r="27">
      <c r="A27" s="42" t="inlineStr">
        <is>
          <t>CASE-004-AN-023</t>
        </is>
      </c>
      <c r="B27" s="59" t="inlineStr">
        <is>
          <t>AN-023</t>
        </is>
      </c>
      <c r="C27" s="59" t="inlineStr">
        <is>
          <t>שינוי מאז תחילת האירוע</t>
        </is>
      </c>
      <c r="D27" s="161" t="inlineStr">
        <is>
          <t>מה שהיה רק במדרגות נהיה קושי גם בבית, ובשלושת הלילות האחרונים זה ממש בלתי נסבל.</t>
        </is>
      </c>
      <c r="E27" s="161" t="inlineStr">
        <is>
          <t>חיוני במקרה</t>
        </is>
      </c>
      <c r="F27" s="161" t="inlineStr">
        <is>
          <t>בירור שינוי מאז תחילת האירוע מסייע לזהות את חומרת קוצר הנשימה, הגודש או הרקע הלבבי, ולכן משמעותי בקבלת ההחלטות.</t>
        </is>
      </c>
      <c r="G27" s="62" t="inlineStr">
        <is>
          <t>מאושר</t>
        </is>
      </c>
      <c r="H27" s="47" t="inlineStr">
        <is>
          <t>לענות רק למה שנשאל; מותר לנסח באופן טבעי בלי להוסיף עובדות.</t>
        </is>
      </c>
    </row>
    <row r="28">
      <c r="A28" s="42" t="inlineStr">
        <is>
          <t>CASE-004-AN-024</t>
        </is>
      </c>
      <c r="B28" s="59" t="inlineStr">
        <is>
          <t>AN-024</t>
        </is>
      </c>
      <c r="C28" s="59" t="inlineStr">
        <is>
          <t>האם היו אירועים דומים</t>
        </is>
      </c>
      <c r="D28" s="161" t="inlineStr">
        <is>
          <t>לפעמים התנשפתי בשנים האחרונות, אבל דבר כזה בלילה עוד לא היה לי.</t>
        </is>
      </c>
      <c r="E28" s="161" t="inlineStr">
        <is>
          <t>חשוב</t>
        </is>
      </c>
      <c r="F28" s="161" t="inlineStr">
        <is>
          <t>בירור האם היו אירועים דומים משלים את הערכת גורמי הסיכון, מחלות הרקע, האבחנה המבדלת או התפקוד היומיומי.</t>
        </is>
      </c>
      <c r="G28" s="62" t="inlineStr">
        <is>
          <t>מאושר</t>
        </is>
      </c>
      <c r="H28" s="47" t="inlineStr">
        <is>
          <t>לענות רק למה שנשאל; מותר לנסח באופן טבעי בלי להוסיף עובדות.</t>
        </is>
      </c>
    </row>
    <row r="29">
      <c r="A29" s="42" t="inlineStr">
        <is>
          <t>CASE-004-AN-025</t>
        </is>
      </c>
      <c r="B29" s="59" t="inlineStr">
        <is>
          <t>AN-025</t>
        </is>
      </c>
      <c r="C29" s="59" t="inlineStr">
        <is>
          <t>דמיון לאירועים קודמים</t>
        </is>
      </c>
      <c r="D29" s="161" t="inlineStr">
        <is>
          <t>כשהיה לי התקף לב לפני עשר שנים כאב לי מאוד בחזה; עכשיו זו בעיקר הנשימה.</t>
        </is>
      </c>
      <c r="E29" s="161" t="inlineStr">
        <is>
          <t>חשוב</t>
        </is>
      </c>
      <c r="F29" s="161" t="inlineStr">
        <is>
          <t>בירור דמיון לאירועים קודמים משלים את הערכת גורמי הסיכון, מחלות הרקע, האבחנה המבדלת או התפקוד היומיומי.</t>
        </is>
      </c>
      <c r="G29" s="62" t="inlineStr">
        <is>
          <t>מאושר</t>
        </is>
      </c>
      <c r="H29" s="47" t="inlineStr">
        <is>
          <t>לענות רק למה שנשאל; מותר לנסח באופן טבעי בלי להוסיף עובדות.</t>
        </is>
      </c>
    </row>
    <row r="30">
      <c r="A30" s="42" t="inlineStr">
        <is>
          <t>CASE-004-AN-026</t>
        </is>
      </c>
      <c r="B30" s="59" t="inlineStr">
        <is>
          <t>AN-026</t>
        </is>
      </c>
      <c r="C30" s="59" t="inlineStr">
        <is>
          <t>שינוי בעוצמה, במשך או בתדירות</t>
        </is>
      </c>
      <c r="D30" s="161" t="inlineStr">
        <is>
          <t>ההתקפים באים יותר פעמים, נמשכים יותר, ואני צריך יותר כריות כדי להירדם.</t>
        </is>
      </c>
      <c r="E30" s="161" t="inlineStr">
        <is>
          <t>חשוב</t>
        </is>
      </c>
      <c r="F30" s="161" t="inlineStr">
        <is>
          <t>בירור שינוי בעוצמה, במשך או בתדירות משלים את הערכת גורמי הסיכון, מחלות הרקע, האבחנה המבדלת או התפקוד היומיומי.</t>
        </is>
      </c>
      <c r="G30" s="62" t="inlineStr">
        <is>
          <t>מאושר</t>
        </is>
      </c>
      <c r="H30" s="47" t="inlineStr">
        <is>
          <t>לענות רק למה שנשאל; מותר לנסח באופן טבעי בלי להוסיף עובדות.</t>
        </is>
      </c>
    </row>
    <row r="31">
      <c r="A31" s="42" t="inlineStr">
        <is>
          <t>CASE-004-AN-027</t>
        </is>
      </c>
      <c r="B31" s="59" t="inlineStr">
        <is>
          <t>AN-027</t>
        </is>
      </c>
      <c r="C31" s="59" t="inlineStr">
        <is>
          <t>הופעה במאמץ קל יותר או במנוחה</t>
        </is>
      </c>
      <c r="D31" s="161" t="inlineStr">
        <is>
          <t>עכשיו גם ללכת למטבח קשה לי, ובשכיבה אני מרגיש מחנק.</t>
        </is>
      </c>
      <c r="E31" s="161" t="inlineStr">
        <is>
          <t>חיוני במקרה</t>
        </is>
      </c>
      <c r="F31" s="161" t="inlineStr">
        <is>
          <t>בירור הופעה במאמץ קל יותר או במנוחה מסייע לזהות את חומרת קוצר הנשימה, הגודש או הרקע הלבבי, ולכן משמעותי בקבלת ההחלטות.</t>
        </is>
      </c>
      <c r="G31" s="62" t="inlineStr">
        <is>
          <t>מאושר</t>
        </is>
      </c>
      <c r="H31" s="47" t="inlineStr">
        <is>
          <t>לענות רק למה שנשאל; מותר לנסח באופן טבעי בלי להוסיף עובדות.</t>
        </is>
      </c>
    </row>
    <row r="32">
      <c r="A32" s="42" t="inlineStr">
        <is>
          <t>CASE-004-AN-028</t>
        </is>
      </c>
      <c r="B32" s="59" t="inlineStr">
        <is>
          <t>AN-028</t>
        </is>
      </c>
      <c r="C32" s="59" t="inlineStr">
        <is>
          <t>קוצר נשימה</t>
        </is>
      </c>
      <c r="D32" s="161" t="inlineStr">
        <is>
          <t>כן, מאוד. תאמין לי, זה מפחיד כשלא נכנס מספיק אוויר.</t>
        </is>
      </c>
      <c r="E32" s="161" t="inlineStr">
        <is>
          <t>חיוני במקרה</t>
        </is>
      </c>
      <c r="F32" s="161" t="inlineStr">
        <is>
          <t>בירור קוצר נשימה מסייע לזהות את חומרת קוצר הנשימה, הגודש או הרקע הלבבי, ולכן משמעותי בקבלת ההחלטות.</t>
        </is>
      </c>
      <c r="G32" s="62" t="inlineStr">
        <is>
          <t>מאושר</t>
        </is>
      </c>
      <c r="H32" s="47" t="inlineStr">
        <is>
          <t>לענות רק למה שנשאל; מותר לנסח באופן טבעי בלי להוסיף עובדות.</t>
        </is>
      </c>
    </row>
    <row r="33">
      <c r="A33" s="42" t="inlineStr">
        <is>
          <t>CASE-004-AN-029</t>
        </is>
      </c>
      <c r="B33" s="59" t="inlineStr">
        <is>
          <t>AN-029</t>
        </is>
      </c>
      <c r="C33" s="59" t="inlineStr">
        <is>
          <t>קוצר נשימה במאמץ</t>
        </is>
      </c>
      <c r="D33" s="161" t="inlineStr">
        <is>
          <t>כמה צעדים ואני צריך לעצור; לקום במדרגות זו כבר משימה.</t>
        </is>
      </c>
      <c r="E33" s="161" t="inlineStr">
        <is>
          <t>חיוני במקרה</t>
        </is>
      </c>
      <c r="F33" s="161" t="inlineStr">
        <is>
          <t>בירור קוצר נשימה במאמץ מסייע לזהות את חומרת קוצר הנשימה, הגודש או הרקע הלבבי, ולכן משמעותי בקבלת ההחלטות.</t>
        </is>
      </c>
      <c r="G33" s="62" t="inlineStr">
        <is>
          <t>מאושר</t>
        </is>
      </c>
      <c r="H33" s="47" t="inlineStr">
        <is>
          <t>לענות רק למה שנשאל; מותר לנסח באופן טבעי בלי להוסיף עובדות.</t>
        </is>
      </c>
    </row>
    <row r="34">
      <c r="A34" s="42" t="inlineStr">
        <is>
          <t>CASE-004-AN-030</t>
        </is>
      </c>
      <c r="B34" s="59" t="inlineStr">
        <is>
          <t>AN-030</t>
        </is>
      </c>
      <c r="C34" s="59" t="inlineStr">
        <is>
          <t>קוצר נשימה בשכיבה</t>
        </is>
      </c>
      <c r="D34" s="161" t="inlineStr">
        <is>
          <t>אני ישן על ארבע כריות. אשתי אומרת שבניתי מגדל, אבל בלי זה אני מרגיש שאני נחנק.</t>
        </is>
      </c>
      <c r="E34" s="161" t="inlineStr">
        <is>
          <t>חיוני במקרה</t>
        </is>
      </c>
      <c r="F34" s="161" t="inlineStr">
        <is>
          <t>בירור קוצר נשימה בשכיבה מסייע לזהות את חומרת קוצר הנשימה, הגודש או הרקע הלבבי, ולכן משמעותי בקבלת ההחלטות.</t>
        </is>
      </c>
      <c r="G34" s="62" t="inlineStr">
        <is>
          <t>מאושר</t>
        </is>
      </c>
      <c r="H34" s="47" t="inlineStr">
        <is>
          <t>לענות רק למה שנשאל; מותר לנסח באופן טבעי בלי להוסיף עובדות.</t>
        </is>
      </c>
    </row>
    <row r="35">
      <c r="A35" s="42" t="inlineStr">
        <is>
          <t>CASE-004-AN-031</t>
        </is>
      </c>
      <c r="B35" s="59" t="inlineStr">
        <is>
          <t>AN-031</t>
        </is>
      </c>
      <c r="C35" s="59" t="inlineStr">
        <is>
          <t>התעוררות לילית מקוצר נשימה</t>
        </is>
      </c>
      <c r="D35" s="161" t="inlineStr">
        <is>
          <t>אני מתעורר באמצע הלילה בלי אוויר, קם ומתיישב ליד החלון. אשתי כבר לא ישנה בגללי.</t>
        </is>
      </c>
      <c r="E35" s="161" t="inlineStr">
        <is>
          <t>חיוני במקרה</t>
        </is>
      </c>
      <c r="F35" s="161" t="inlineStr">
        <is>
          <t>בירור התעוררות לילית מקוצר נשימה מסייע לזהות את חומרת קוצר הנשימה, הגודש או הרקע הלבבי, ולכן משמעותי בקבלת ההחלטות.</t>
        </is>
      </c>
      <c r="G35" s="62" t="inlineStr">
        <is>
          <t>מאושר</t>
        </is>
      </c>
      <c r="H35" s="47" t="inlineStr">
        <is>
          <t>לענות רק למה שנשאל; מותר לנסח באופן טבעי בלי להוסיף עובדות.</t>
        </is>
      </c>
    </row>
    <row r="36">
      <c r="A36" s="42" t="inlineStr">
        <is>
          <t>CASE-004-AN-032</t>
        </is>
      </c>
      <c r="B36" s="59" t="inlineStr">
        <is>
          <t>AN-032</t>
        </is>
      </c>
      <c r="C36" s="59" t="inlineStr">
        <is>
          <t>עייפות וחולשה</t>
        </is>
      </c>
      <c r="D36" s="161" t="inlineStr">
        <is>
          <t>אני עייף וחלש, אפילו להתלבש אני עושה לאט.</t>
        </is>
      </c>
      <c r="E36" s="161" t="inlineStr">
        <is>
          <t>חשוב</t>
        </is>
      </c>
      <c r="F36" s="161" t="inlineStr">
        <is>
          <t>בירור עייפות וחולשה משלים את הערכת גורמי הסיכון, מחלות הרקע, האבחנה המבדלת או התפקוד היומיומי.</t>
        </is>
      </c>
      <c r="G36" s="62" t="inlineStr">
        <is>
          <t>מאושר</t>
        </is>
      </c>
      <c r="H36" s="47" t="inlineStr">
        <is>
          <t>לענות רק למה שנשאל; מותר לנסח באופן טבעי בלי להוסיף עובדות.</t>
        </is>
      </c>
    </row>
    <row r="37">
      <c r="A37" s="42" t="inlineStr">
        <is>
          <t>CASE-004-AN-033</t>
        </is>
      </c>
      <c r="B37" s="59" t="inlineStr">
        <is>
          <t>AN-033</t>
        </is>
      </c>
      <c r="C37" s="59" t="inlineStr">
        <is>
          <t>הזעה</t>
        </is>
      </c>
      <c r="D37" s="161" t="inlineStr">
        <is>
          <t>לפעמים אני מזיע כשאני נבהל מהנשימה, אבל אין הזעה חזקה כמו בהתקף הלב שהיה לי.</t>
        </is>
      </c>
      <c r="E37" s="161" t="inlineStr">
        <is>
          <t>משלים</t>
        </is>
      </c>
      <c r="F37" s="161" t="inlineStr">
        <is>
          <t>בירור הזעה עשוי להוסיף הקשר, אך אינו מרכזי לזיהוי סיבת קוצר הנשימה במקרה זה.</t>
        </is>
      </c>
      <c r="G37" s="62" t="inlineStr">
        <is>
          <t>מאושר</t>
        </is>
      </c>
      <c r="H37" s="47" t="inlineStr">
        <is>
          <t>לענות רק למה שנשאל; מותר לנסח באופן טבעי בלי להוסיף עובדות.</t>
        </is>
      </c>
    </row>
    <row r="38">
      <c r="A38" s="42" t="inlineStr">
        <is>
          <t>CASE-004-AN-034</t>
        </is>
      </c>
      <c r="B38" s="59" t="inlineStr">
        <is>
          <t>AN-034</t>
        </is>
      </c>
      <c r="C38" s="59" t="inlineStr">
        <is>
          <t>בחילה או הקאה</t>
        </is>
      </c>
      <c r="D38" s="161" t="inlineStr">
        <is>
          <t>לא הקאתי ולא ממש הייתה לי בחילה.</t>
        </is>
      </c>
      <c r="E38" s="161" t="inlineStr">
        <is>
          <t>משלים</t>
        </is>
      </c>
      <c r="F38" s="161" t="inlineStr">
        <is>
          <t>בירור בחילה או הקאה עשוי להוסיף הקשר, אך אינו מרכזי לזיהוי סיבת קוצר הנשימה במקרה זה.</t>
        </is>
      </c>
      <c r="G38" s="62" t="inlineStr">
        <is>
          <t>מאושר</t>
        </is>
      </c>
      <c r="H38" s="47" t="inlineStr">
        <is>
          <t>לענות רק למה שנשאל; מותר לנסח באופן טבעי בלי להוסיף עובדות.</t>
        </is>
      </c>
    </row>
    <row r="39">
      <c r="A39" s="42" t="inlineStr">
        <is>
          <t>CASE-004-AN-035</t>
        </is>
      </c>
      <c r="B39" s="59" t="inlineStr">
        <is>
          <t>AN-035</t>
        </is>
      </c>
      <c r="C39" s="59" t="inlineStr">
        <is>
          <t>סחרחורת או תחושת עילפון</t>
        </is>
      </c>
      <c r="D39" s="161" t="inlineStr">
        <is>
          <t>יש לפעמים קצת סחרחורת כשאני קם מהר, לא התעלפתי.</t>
        </is>
      </c>
      <c r="E39" s="161" t="inlineStr">
        <is>
          <t>בדרך כלל לא מרכזי</t>
        </is>
      </c>
      <c r="F39" s="161" t="inlineStr">
        <is>
          <t>בירור סחרחורת או תחושת עילפון עשוי להוסיף הקשר, אך אינו מרכזי לזיהוי סיבת קוצר הנשימה במקרה זה.</t>
        </is>
      </c>
      <c r="G39" s="62" t="inlineStr">
        <is>
          <t>מאושר</t>
        </is>
      </c>
      <c r="H39" s="47" t="inlineStr">
        <is>
          <t>לענות רק למה שנשאל; מותר לנסח באופן טבעי בלי להוסיף עובדות.</t>
        </is>
      </c>
    </row>
    <row r="40">
      <c r="A40" s="42" t="inlineStr">
        <is>
          <t>CASE-004-AN-036</t>
        </is>
      </c>
      <c r="B40" s="59" t="inlineStr">
        <is>
          <t>AN-036</t>
        </is>
      </c>
      <c r="C40" s="59" t="inlineStr">
        <is>
          <t>דפיקות לב</t>
        </is>
      </c>
      <c r="D40" s="161" t="inlineStr">
        <is>
          <t>אני מרגיש שהלב רץ מהר כשקשה לי לנשום.</t>
        </is>
      </c>
      <c r="E40" s="161" t="inlineStr">
        <is>
          <t>חשוב</t>
        </is>
      </c>
      <c r="F40" s="161" t="inlineStr">
        <is>
          <t>בירור דפיקות לב משלים את הערכת גורמי הסיכון, מחלות הרקע, האבחנה המבדלת או התפקוד היומיומי.</t>
        </is>
      </c>
      <c r="G40" s="62" t="inlineStr">
        <is>
          <t>מאושר</t>
        </is>
      </c>
      <c r="H40" s="47" t="inlineStr">
        <is>
          <t>לענות רק למה שנשאל; מותר לנסח באופן טבעי בלי להוסיף עובדות.</t>
        </is>
      </c>
    </row>
    <row r="41">
      <c r="A41" s="42" t="inlineStr">
        <is>
          <t>CASE-004-AN-037</t>
        </is>
      </c>
      <c r="B41" s="59" t="inlineStr">
        <is>
          <t>AN-037</t>
        </is>
      </c>
      <c r="C41" s="59" t="inlineStr">
        <is>
          <t>חרדה או אי-שקט</t>
        </is>
      </c>
      <c r="D41" s="161" t="inlineStr">
        <is>
          <t>אני דואג מאוד. מאז ההתקף ההוא אני מפחד שכל דבר בלב יחזור.</t>
        </is>
      </c>
      <c r="E41" s="161" t="inlineStr">
        <is>
          <t>משלים</t>
        </is>
      </c>
      <c r="F41" s="161" t="inlineStr">
        <is>
          <t>בירור חרדה או אי-שקט עשוי להוסיף הקשר, אך אינו מרכזי לזיהוי סיבת קוצר הנשימה במקרה זה.</t>
        </is>
      </c>
      <c r="G41" s="62" t="inlineStr">
        <is>
          <t>מאושר</t>
        </is>
      </c>
      <c r="H41" s="47" t="inlineStr">
        <is>
          <t>לענות רק למה שנשאל; מותר לנסח באופן טבעי בלי להוסיף עובדות.</t>
        </is>
      </c>
    </row>
    <row r="42">
      <c r="A42" s="42" t="inlineStr">
        <is>
          <t>CASE-004-AN-038</t>
        </is>
      </c>
      <c r="B42" s="59" t="inlineStr">
        <is>
          <t>AN-038</t>
        </is>
      </c>
      <c r="C42" s="59" t="inlineStr">
        <is>
          <t>שיעול</t>
        </is>
      </c>
      <c r="D42" s="161" t="inlineStr">
        <is>
          <t>יש שיעול יבש לפעמים, בעיקר כשאני שוכב; לא משהו עם חום וליחה סמיכה.</t>
        </is>
      </c>
      <c r="E42" s="161" t="inlineStr">
        <is>
          <t>חשוב</t>
        </is>
      </c>
      <c r="F42" s="161" t="inlineStr">
        <is>
          <t>בירור שיעול משלים את הערכת גורמי הסיכון, מחלות הרקע, האבחנה המבדלת או התפקוד היומיומי.</t>
        </is>
      </c>
      <c r="G42" s="62" t="inlineStr">
        <is>
          <t>מאושר</t>
        </is>
      </c>
      <c r="H42" s="47" t="inlineStr">
        <is>
          <t>לענות רק למה שנשאל; מותר לנסח באופן טבעי בלי להוסיף עובדות.</t>
        </is>
      </c>
    </row>
    <row r="43">
      <c r="A43" s="42" t="inlineStr">
        <is>
          <t>CASE-004-AN-039</t>
        </is>
      </c>
      <c r="B43" s="59" t="inlineStr">
        <is>
          <t>AN-039</t>
        </is>
      </c>
      <c r="C43" s="59" t="inlineStr">
        <is>
          <t>בצקות ברגליים</t>
        </is>
      </c>
      <c r="D43" s="161" t="inlineStr">
        <is>
          <t>כן, הנעליים לוחצות לי והרגליים נפוחות בערב; חשבתי שזה מהישיבה.</t>
        </is>
      </c>
      <c r="E43" s="161" t="inlineStr">
        <is>
          <t>חיוני במקרה</t>
        </is>
      </c>
      <c r="F43" s="161" t="inlineStr">
        <is>
          <t>בירור בצקות ברגליים מסייע לזהות את חומרת קוצר הנשימה, הגודש או הרקע הלבבי, ולכן משמעותי בקבלת ההחלטות.</t>
        </is>
      </c>
      <c r="G43" s="62" t="inlineStr">
        <is>
          <t>מאושר</t>
        </is>
      </c>
      <c r="H43" s="47" t="inlineStr">
        <is>
          <t>לענות רק למה שנשאל; מותר לנסח באופן טבעי בלי להוסיף עובדות.</t>
        </is>
      </c>
    </row>
    <row r="44">
      <c r="A44" s="42" t="inlineStr">
        <is>
          <t>CASE-004-AN-040</t>
        </is>
      </c>
      <c r="B44" s="59" t="inlineStr">
        <is>
          <t>AN-040</t>
        </is>
      </c>
      <c r="C44" s="59" t="inlineStr">
        <is>
          <t>נפיחות בטנית</t>
        </is>
      </c>
      <c r="D44" s="161" t="inlineStr">
        <is>
          <t>הבטן קצת יותר תפוחה והמכנסיים לוחצים, אשתי אומרת שזה מהמאפים.</t>
        </is>
      </c>
      <c r="E44" s="161" t="inlineStr">
        <is>
          <t>חיוני במקרה</t>
        </is>
      </c>
      <c r="F44" s="161" t="inlineStr">
        <is>
          <t>בירור נפיחות בטנית מסייע לזהות את חומרת קוצר הנשימה, הגודש או הרקע הלבבי, ולכן משמעותי בקבלת ההחלטות.</t>
        </is>
      </c>
      <c r="G44" s="62" t="inlineStr">
        <is>
          <t>מאושר</t>
        </is>
      </c>
      <c r="H44" s="47" t="inlineStr">
        <is>
          <t>לענות רק למה שנשאל; מותר לנסח באופן טבעי בלי להוסיף עובדות.</t>
        </is>
      </c>
    </row>
    <row r="45">
      <c r="A45" s="42" t="inlineStr">
        <is>
          <t>CASE-004-AN-041</t>
        </is>
      </c>
      <c r="B45" s="59" t="inlineStr">
        <is>
          <t>AN-041</t>
        </is>
      </c>
      <c r="C45" s="59" t="inlineStr">
        <is>
          <t>מתן שתן בלילה</t>
        </is>
      </c>
      <c r="D45" s="161" t="inlineStr">
        <is>
          <t>אני קם כמה פעמים לשירותים בלילה, גם כשאני מצליח סוף סוף להירדם.</t>
        </is>
      </c>
      <c r="E45" s="161" t="inlineStr">
        <is>
          <t>חשוב</t>
        </is>
      </c>
      <c r="F45" s="161" t="inlineStr">
        <is>
          <t>בירור מתן שתן בלילה משלים את הערכת גורמי הסיכון, מחלות הרקע, האבחנה המבדלת או התפקוד היומיומי.</t>
        </is>
      </c>
      <c r="G45" s="62" t="inlineStr">
        <is>
          <t>מאושר</t>
        </is>
      </c>
      <c r="H45" s="47" t="inlineStr">
        <is>
          <t>לענות רק למה שנשאל; מותר לנסח באופן טבעי בלי להוסיף עובדות.</t>
        </is>
      </c>
    </row>
    <row r="46">
      <c r="A46" s="42" t="inlineStr">
        <is>
          <t>CASE-004-AN-042</t>
        </is>
      </c>
      <c r="B46" s="59" t="inlineStr">
        <is>
          <t>AN-042</t>
        </is>
      </c>
      <c r="C46" s="59" t="inlineStr">
        <is>
          <t>בלבול או שינוי בערנות</t>
        </is>
      </c>
      <c r="D46" s="161" t="inlineStr">
        <is>
          <t>אני מתרגש ודואג אבל יודע איפה אני ומה קורה; לא איבדתי הכרה.</t>
        </is>
      </c>
      <c r="E46" s="161" t="inlineStr">
        <is>
          <t>חשוב</t>
        </is>
      </c>
      <c r="F46" s="161" t="inlineStr">
        <is>
          <t>בירור בלבול או שינוי בערנות משלים את הערכת גורמי הסיכון, מחלות הרקע, האבחנה המבדלת או התפקוד היומיומי.</t>
        </is>
      </c>
      <c r="G46" s="62" t="inlineStr">
        <is>
          <t>מאושר</t>
        </is>
      </c>
      <c r="H46" s="47" t="inlineStr">
        <is>
          <t>לענות רק למה שנשאל; מותר לנסח באופן טבעי בלי להוסיף עובדות.</t>
        </is>
      </c>
    </row>
    <row r="47">
      <c r="A47" s="42" t="inlineStr">
        <is>
          <t>CASE-004-AN-043</t>
        </is>
      </c>
      <c r="B47" s="59" t="inlineStr">
        <is>
          <t>AN-043</t>
        </is>
      </c>
      <c r="C47" s="59" t="inlineStr">
        <is>
          <t>יכולת תפקודית רגילה</t>
        </is>
      </c>
      <c r="D47" s="161" t="inlineStr">
        <is>
          <t>עד לאחרונה הסתדרתי לבד בבית והלכתי לקניות, לא עשיתי ספורט.</t>
        </is>
      </c>
      <c r="E47" s="161" t="inlineStr">
        <is>
          <t>חיוני במקרה</t>
        </is>
      </c>
      <c r="F47" s="161" t="inlineStr">
        <is>
          <t>בירור יכולת תפקודית רגילה מסייע לזהות את חומרת קוצר הנשימה, הגודש או הרקע הלבבי, ולכן משמעותי בקבלת ההחלטות.</t>
        </is>
      </c>
      <c r="G47" s="62" t="inlineStr">
        <is>
          <t>מאושר</t>
        </is>
      </c>
      <c r="H47" s="47" t="inlineStr">
        <is>
          <t>לענות רק למה שנשאל; מותר לנסח באופן טבעי בלי להוסיף עובדות.</t>
        </is>
      </c>
    </row>
    <row r="48">
      <c r="A48" s="42" t="inlineStr">
        <is>
          <t>CASE-004-AN-044</t>
        </is>
      </c>
      <c r="B48" s="59" t="inlineStr">
        <is>
          <t>AN-044</t>
        </is>
      </c>
      <c r="C48" s="59" t="inlineStr">
        <is>
          <t>שינוי ביכולת המאמץ</t>
        </is>
      </c>
      <c r="D48" s="161" t="inlineStr">
        <is>
          <t>פעם עשיתי קניות בלי בעיה; עכשיו אני עוצר לנשום אחרי כמה צעדים.</t>
        </is>
      </c>
      <c r="E48" s="161" t="inlineStr">
        <is>
          <t>חיוני במקרה</t>
        </is>
      </c>
      <c r="F48" s="161" t="inlineStr">
        <is>
          <t>בירור שינוי ביכולת המאמץ מסייע לזהות את חומרת קוצר הנשימה, הגודש או הרקע הלבבי, ולכן משמעותי בקבלת ההחלטות.</t>
        </is>
      </c>
      <c r="G48" s="62" t="inlineStr">
        <is>
          <t>מאושר</t>
        </is>
      </c>
      <c r="H48" s="47" t="inlineStr">
        <is>
          <t>לענות רק למה שנשאל; מותר לנסח באופן טבעי בלי להוסיף עובדות.</t>
        </is>
      </c>
    </row>
    <row r="49">
      <c r="A49" s="42" t="inlineStr">
        <is>
          <t>CASE-004-AN-045</t>
        </is>
      </c>
      <c r="B49" s="59" t="inlineStr">
        <is>
          <t>AN-045</t>
        </is>
      </c>
      <c r="C49" s="59" t="inlineStr">
        <is>
          <t>תסמינים בפעולות יום-יומיות או במנוחה</t>
        </is>
      </c>
      <c r="D49" s="161" t="inlineStr">
        <is>
          <t>אפילו להתלבש וללכת בבית מעייפים אותי, ובשכיבה קשה לי במיוחד.</t>
        </is>
      </c>
      <c r="E49" s="161" t="inlineStr">
        <is>
          <t>חיוני במקרה</t>
        </is>
      </c>
      <c r="F49" s="161" t="inlineStr">
        <is>
          <t>בירור תסמינים בפעולות יום-יומיות או במנוחה מסייע לזהות את חומרת קוצר הנשימה, הגודש או הרקע הלבבי, ולכן משמעותי בקבלת ההחלטות.</t>
        </is>
      </c>
      <c r="G49" s="62" t="inlineStr">
        <is>
          <t>מאושר</t>
        </is>
      </c>
      <c r="H49" s="47" t="inlineStr">
        <is>
          <t>לענות רק למה שנשאל; מותר לנסח באופן טבעי בלי להוסיף עובדות.</t>
        </is>
      </c>
    </row>
    <row r="50">
      <c r="A50" s="42" t="inlineStr">
        <is>
          <t>CASE-004-AN-046</t>
        </is>
      </c>
      <c r="B50" s="59" t="inlineStr">
        <is>
          <t>AN-046</t>
        </is>
      </c>
      <c r="C50" s="59" t="inlineStr">
        <is>
          <t>סוכרת</t>
        </is>
      </c>
      <c r="D50" s="161" t="inlineStr">
        <is>
          <t>כן, יש לי סוכרת; אומרים לי להיזהר ממתוק, ואני מנסה, לא תמיד מצליח.</t>
        </is>
      </c>
      <c r="E50" s="161" t="inlineStr">
        <is>
          <t>חשוב</t>
        </is>
      </c>
      <c r="F50" s="161" t="inlineStr">
        <is>
          <t>בירור סוכרת משלים את הערכת גורמי הסיכון, מחלות הרקע, האבחנה המבדלת או התפקוד היומיומי.</t>
        </is>
      </c>
      <c r="G50" s="62" t="inlineStr">
        <is>
          <t>מאושר</t>
        </is>
      </c>
      <c r="H50" s="47" t="inlineStr">
        <is>
          <t>לענות רק למה שנשאל; מותר לנסח באופן טבעי בלי להוסיף עובדות.</t>
        </is>
      </c>
    </row>
    <row r="51">
      <c r="A51" s="42" t="inlineStr">
        <is>
          <t>CASE-004-AN-047</t>
        </is>
      </c>
      <c r="B51" s="59" t="inlineStr">
        <is>
          <t>AN-047</t>
        </is>
      </c>
      <c r="C51" s="59" t="inlineStr">
        <is>
          <t>יתר לחץ דם</t>
        </is>
      </c>
      <c r="D51" s="161" t="inlineStr">
        <is>
          <t>כן, לחץ דם גבוה כבר שנים. אני לוקח כדור, אבל מודה שלפעמים אני שוכח.</t>
        </is>
      </c>
      <c r="E51" s="161" t="inlineStr">
        <is>
          <t>חיוני במקרה</t>
        </is>
      </c>
      <c r="F51" s="161" t="inlineStr">
        <is>
          <t>בירור יתר לחץ דם מסייע לזהות את חומרת קוצר הנשימה, הגודש או הרקע הלבבי, ולכן משמעותי בקבלת ההחלטות.</t>
        </is>
      </c>
      <c r="G51" s="62" t="inlineStr">
        <is>
          <t>מאושר</t>
        </is>
      </c>
      <c r="H51" s="47" t="inlineStr">
        <is>
          <t>לענות רק למה שנשאל; מותר לנסח באופן טבעי בלי להוסיף עובדות.</t>
        </is>
      </c>
    </row>
    <row r="52">
      <c r="A52" s="42" t="inlineStr">
        <is>
          <t>CASE-004-AN-048</t>
        </is>
      </c>
      <c r="B52" s="59" t="inlineStr">
        <is>
          <t>AN-048</t>
        </is>
      </c>
      <c r="C52" s="59" t="inlineStr">
        <is>
          <t>היפרליפידמיה</t>
        </is>
      </c>
      <c r="D52" s="161" t="inlineStr">
        <is>
          <t>כן, כולסטרול גבוה. אני לוקח סטטין כשאני זוכר.</t>
        </is>
      </c>
      <c r="E52" s="161" t="inlineStr">
        <is>
          <t>חשוב</t>
        </is>
      </c>
      <c r="F52" s="161" t="inlineStr">
        <is>
          <t>בירור היפרליפידמיה משלים את הערכת גורמי הסיכון, מחלות הרקע, האבחנה המבדלת או התפקוד היומיומי.</t>
        </is>
      </c>
      <c r="G52" s="62" t="inlineStr">
        <is>
          <t>מאושר</t>
        </is>
      </c>
      <c r="H52" s="47" t="inlineStr">
        <is>
          <t>לענות רק למה שנשאל; מותר לנסח באופן טבעי בלי להוסיף עובדות.</t>
        </is>
      </c>
    </row>
    <row r="53">
      <c r="A53" s="42" t="inlineStr">
        <is>
          <t>CASE-004-AN-049</t>
        </is>
      </c>
      <c r="B53" s="59" t="inlineStr">
        <is>
          <t>AN-049</t>
        </is>
      </c>
      <c r="C53" s="59" t="inlineStr">
        <is>
          <t>מחלת כליות</t>
        </is>
      </c>
      <c r="D53" s="162" t="inlineStr">
        <is>
          <t>אמרו לי פעם שהכליות קצת חלשות; לא הייתי בדיאליזה ולא אושפזתי בגללן.</t>
        </is>
      </c>
      <c r="E53" s="162" t="inlineStr">
        <is>
          <t>חשוב</t>
        </is>
      </c>
      <c r="F53" s="162" t="inlineStr">
        <is>
          <t>בירור מחלת כליות משלים את הערכת גורמי הסיכון, מחלות הרקע, האבחנה המבדלת או התפקוד היומיומי.</t>
        </is>
      </c>
      <c r="G53" s="62" t="inlineStr">
        <is>
          <t>מאושר</t>
        </is>
      </c>
      <c r="H53" s="47" t="inlineStr">
        <is>
          <t>לענות רק למה שנשאל; מותר לנסח באופן טבעי בלי להוסיף עובדות.</t>
        </is>
      </c>
    </row>
    <row r="54">
      <c r="A54" s="42" t="inlineStr">
        <is>
          <t>CASE-004-AN-050</t>
        </is>
      </c>
      <c r="B54" s="59" t="inlineStr">
        <is>
          <t>AN-050</t>
        </is>
      </c>
      <c r="C54" s="59" t="inlineStr">
        <is>
          <t>השמנת יתר</t>
        </is>
      </c>
      <c r="D54" s="161" t="inlineStr">
        <is>
          <t>הרופא אומר שאני צריך לרדת במשקל. אני 95 קילו, והמאפים של אשתי לא עוזרים.</t>
        </is>
      </c>
      <c r="E54" s="161" t="inlineStr">
        <is>
          <t>חשוב</t>
        </is>
      </c>
      <c r="F54" s="161" t="inlineStr">
        <is>
          <t>בירור השמנת יתר משלים את הערכת גורמי הסיכון, מחלות הרקע, האבחנה המבדלת או התפקוד היומיומי.</t>
        </is>
      </c>
      <c r="G54" s="62" t="inlineStr">
        <is>
          <t>מאושר</t>
        </is>
      </c>
      <c r="H54" s="47" t="inlineStr">
        <is>
          <t>לענות רק למה שנשאל; מותר לנסח באופן טבעי בלי להוסיף עובדות.</t>
        </is>
      </c>
    </row>
    <row r="55">
      <c r="A55" s="42" t="inlineStr">
        <is>
          <t>CASE-004-AN-051</t>
        </is>
      </c>
      <c r="B55" s="59" t="inlineStr">
        <is>
          <t>AN-051</t>
        </is>
      </c>
      <c r="C55" s="59" t="inlineStr">
        <is>
          <t>מחלת לב איסכמית או תעוקה בעבר</t>
        </is>
      </c>
      <c r="D55" s="161" t="inlineStr">
        <is>
          <t>לפני עשר שנים היה לי התקף לב, מאז אני במעקב. כאבים קבועים במאמץ אין לי עכשיו.</t>
        </is>
      </c>
      <c r="E55" s="161" t="inlineStr">
        <is>
          <t>חיוני במקרה</t>
        </is>
      </c>
      <c r="F55" s="161" t="inlineStr">
        <is>
          <t>בירור מחלת לב איסכמית או תעוקה בעבר מסייע לזהות את חומרת קוצר הנשימה, הגודש או הרקע הלבבי, ולכן משמעותי בקבלת ההחלטות.</t>
        </is>
      </c>
      <c r="G55" s="62" t="inlineStr">
        <is>
          <t>מאושר</t>
        </is>
      </c>
      <c r="H55" s="47" t="inlineStr">
        <is>
          <t>לענות רק למה שנשאל; מותר לנסח באופן טבעי בלי להוסיף עובדות.</t>
        </is>
      </c>
    </row>
    <row r="56">
      <c r="A56" s="42" t="inlineStr">
        <is>
          <t>CASE-004-AN-052</t>
        </is>
      </c>
      <c r="B56" s="59" t="inlineStr">
        <is>
          <t>AN-052</t>
        </is>
      </c>
      <c r="C56" s="59" t="inlineStr">
        <is>
          <t>אוטם קודם</t>
        </is>
      </c>
      <c r="D56" s="161" t="inlineStr">
        <is>
          <t>בגיל שישים היה התקף לב רציני, עשו לי צנתור והכניסו קפיץ קטן לעורק.</t>
        </is>
      </c>
      <c r="E56" s="161" t="inlineStr">
        <is>
          <t>חיוני במקרה</t>
        </is>
      </c>
      <c r="F56" s="161" t="inlineStr">
        <is>
          <t>בירור אוטם קודם מסייע לזהות את חומרת קוצר הנשימה, הגודש או הרקע הלבבי, ולכן משמעותי בקבלת ההחלטות.</t>
        </is>
      </c>
      <c r="G56" s="62" t="inlineStr">
        <is>
          <t>מאושר</t>
        </is>
      </c>
      <c r="H56" s="47" t="inlineStr">
        <is>
          <t>לענות רק למה שנשאל; מותר לנסח באופן טבעי בלי להוסיף עובדות.</t>
        </is>
      </c>
    </row>
    <row r="57">
      <c r="A57" s="42" t="inlineStr">
        <is>
          <t>CASE-004-AN-053</t>
        </is>
      </c>
      <c r="B57" s="59" t="inlineStr">
        <is>
          <t>AN-053</t>
        </is>
      </c>
      <c r="C57" s="59" t="inlineStr">
        <is>
          <t>אי-ספיקת לב</t>
        </is>
      </c>
      <c r="D57" s="161" t="inlineStr">
        <is>
          <t>לא אמרו לי שיש לי אי־ספיקת לב. בגלל זה אני פה, שיסבירו לי מה קורה.</t>
        </is>
      </c>
      <c r="E57" s="161" t="inlineStr">
        <is>
          <t>חיוני במקרה</t>
        </is>
      </c>
      <c r="F57" s="161" t="inlineStr">
        <is>
          <t>בירור אי-ספיקת לב מסייע לזהות את חומרת קוצר הנשימה, הגודש או הרקע הלבבי, ולכן משמעותי בקבלת ההחלטות.</t>
        </is>
      </c>
      <c r="G57" s="62" t="inlineStr">
        <is>
          <t>מאושר</t>
        </is>
      </c>
      <c r="H57" s="47" t="inlineStr">
        <is>
          <t>לענות רק למה שנשאל; מותר לנסח באופן טבעי בלי להוסיף עובדות.</t>
        </is>
      </c>
    </row>
    <row r="58">
      <c r="A58" s="42" t="inlineStr">
        <is>
          <t>CASE-004-AN-054</t>
        </is>
      </c>
      <c r="B58" s="59" t="inlineStr">
        <is>
          <t>AN-054</t>
        </is>
      </c>
      <c r="C58" s="59" t="inlineStr">
        <is>
          <t>הפרעות קצב</t>
        </is>
      </c>
      <c r="D58" s="161" t="inlineStr">
        <is>
          <t>לא סיפרו לי שיש לי הפרעת קצב קבועה; לפעמים אני מרגיש דפיקות מהירות.</t>
        </is>
      </c>
      <c r="E58" s="161" t="inlineStr">
        <is>
          <t>חשוב</t>
        </is>
      </c>
      <c r="F58" s="161" t="inlineStr">
        <is>
          <t>בירור הפרעות קצב משלים את הערכת גורמי הסיכון, מחלות הרקע, האבחנה המבדלת או התפקוד היומיומי.</t>
        </is>
      </c>
      <c r="G58" s="62" t="inlineStr">
        <is>
          <t>מאושר</t>
        </is>
      </c>
      <c r="H58" s="47" t="inlineStr">
        <is>
          <t>לענות רק למה שנשאל; מותר לנסח באופן טבעי בלי להוסיף עובדות.</t>
        </is>
      </c>
    </row>
    <row r="59">
      <c r="A59" s="42" t="inlineStr">
        <is>
          <t>CASE-004-AN-055</t>
        </is>
      </c>
      <c r="B59" s="59" t="inlineStr">
        <is>
          <t>AN-055</t>
        </is>
      </c>
      <c r="C59" s="59" t="inlineStr">
        <is>
          <t>מחלת מסתמים</t>
        </is>
      </c>
      <c r="D59" s="161" t="inlineStr">
        <is>
          <t>לא ידוע לי שיש בעיה במסתמים.</t>
        </is>
      </c>
      <c r="E59" s="161" t="inlineStr">
        <is>
          <t>חשוב</t>
        </is>
      </c>
      <c r="F59" s="161" t="inlineStr">
        <is>
          <t>בירור מחלת מסתמים משלים את הערכת גורמי הסיכון, מחלות הרקע, האבחנה המבדלת או התפקוד היומיומי.</t>
        </is>
      </c>
      <c r="G59" s="62" t="inlineStr">
        <is>
          <t>מאושר</t>
        </is>
      </c>
      <c r="H59" s="47" t="inlineStr">
        <is>
          <t>לענות רק למה שנשאל; מותר לנסח באופן טבעי בלי להוסיף עובדות.</t>
        </is>
      </c>
    </row>
    <row r="60">
      <c r="A60" s="42" t="inlineStr">
        <is>
          <t>CASE-004-AN-056</t>
        </is>
      </c>
      <c r="B60" s="59" t="inlineStr">
        <is>
          <t>AN-056</t>
        </is>
      </c>
      <c r="C60" s="59" t="inlineStr">
        <is>
          <t>אירוע מוחי או מחלת כלי דם היקפיים</t>
        </is>
      </c>
      <c r="D60" s="161" t="inlineStr">
        <is>
          <t>לא עברתי שבץ מוחי; גם לא אמרו לי שיש חסימה בעורקי הרגליים.</t>
        </is>
      </c>
      <c r="E60" s="161" t="inlineStr">
        <is>
          <t>משלים</t>
        </is>
      </c>
      <c r="F60" s="161" t="inlineStr">
        <is>
          <t>בירור אירוע מוחי או מחלת כלי דם היקפיים עשוי להוסיף הקשר, אך אינו מרכזי לזיהוי סיבת קוצר הנשימה במקרה זה.</t>
        </is>
      </c>
      <c r="G60" s="62" t="inlineStr">
        <is>
          <t>מאושר</t>
        </is>
      </c>
      <c r="H60" s="47" t="inlineStr">
        <is>
          <t>לענות רק למה שנשאל; מותר לנסח באופן טבעי בלי להוסיף עובדות.</t>
        </is>
      </c>
    </row>
    <row r="61">
      <c r="A61" s="42" t="inlineStr">
        <is>
          <t>CASE-004-AN-057</t>
        </is>
      </c>
      <c r="B61" s="59" t="inlineStr">
        <is>
          <t>AN-057</t>
        </is>
      </c>
      <c r="C61" s="59" t="inlineStr">
        <is>
          <t>אנמיה</t>
        </is>
      </c>
      <c r="D61" s="161" t="inlineStr">
        <is>
          <t>לא ידוע לי על אנמיה.</t>
        </is>
      </c>
      <c r="E61" s="161" t="inlineStr">
        <is>
          <t>משלים</t>
        </is>
      </c>
      <c r="F61" s="161" t="inlineStr">
        <is>
          <t>בירור אנמיה עשוי להוסיף הקשר, אך אינו מרכזי לזיהוי סיבת קוצר הנשימה במקרה זה.</t>
        </is>
      </c>
      <c r="G61" s="62" t="inlineStr">
        <is>
          <t>מאושר</t>
        </is>
      </c>
      <c r="H61" s="47" t="inlineStr">
        <is>
          <t>לענות רק למה שנשאל; מותר לנסח באופן טבעי בלי להוסיף עובדות.</t>
        </is>
      </c>
    </row>
    <row r="62">
      <c r="A62" s="42" t="inlineStr">
        <is>
          <t>CASE-004-AN-058</t>
        </is>
      </c>
      <c r="B62" s="59" t="inlineStr">
        <is>
          <t>AN-058</t>
        </is>
      </c>
      <c r="C62" s="59" t="inlineStr">
        <is>
          <t>זיהום או חום לאחרונה</t>
        </is>
      </c>
      <c r="D62" s="161" t="inlineStr">
        <is>
          <t>לא היה לי חום או זיהום רציני לאחרונה, רק שיעול יבש לפעמים.</t>
        </is>
      </c>
      <c r="E62" s="161" t="inlineStr">
        <is>
          <t>חשוב</t>
        </is>
      </c>
      <c r="F62" s="161" t="inlineStr">
        <is>
          <t>בירור זיהום או חום לאחרונה משלים את הערכת גורמי הסיכון, מחלות הרקע, האבחנה המבדלת או התפקוד היומיומי.</t>
        </is>
      </c>
      <c r="G62" s="62" t="inlineStr">
        <is>
          <t>מאושר</t>
        </is>
      </c>
      <c r="H62" s="47" t="inlineStr">
        <is>
          <t>לענות רק למה שנשאל; מותר לנסח באופן טבעי בלי להוסיף עובדות.</t>
        </is>
      </c>
    </row>
    <row r="63">
      <c r="A63" s="42" t="inlineStr">
        <is>
          <t>CASE-004-AN-059</t>
        </is>
      </c>
      <c r="B63" s="59" t="inlineStr">
        <is>
          <t>AN-059</t>
        </is>
      </c>
      <c r="C63" s="59" t="inlineStr">
        <is>
          <t>אשפוזים קרדיאליים קודמים</t>
        </is>
      </c>
      <c r="D63" s="161" t="inlineStr">
        <is>
          <t>מאז האשפוז לפני עשר שנים לא הייתי מאושפז בגלל הלב.</t>
        </is>
      </c>
      <c r="E63" s="161" t="inlineStr">
        <is>
          <t>חשוב</t>
        </is>
      </c>
      <c r="F63" s="161" t="inlineStr">
        <is>
          <t>בירור אשפוזים קרדיאליים קודמים משלים את הערכת גורמי הסיכון, מחלות הרקע, האבחנה המבדלת או התפקוד היומיומי.</t>
        </is>
      </c>
      <c r="G63" s="62" t="inlineStr">
        <is>
          <t>מאושר</t>
        </is>
      </c>
      <c r="H63" s="47" t="inlineStr">
        <is>
          <t>לענות רק למה שנשאל; מותר לנסח באופן טבעי בלי להוסיף עובדות.</t>
        </is>
      </c>
    </row>
    <row r="64">
      <c r="A64" s="42" t="inlineStr">
        <is>
          <t>CASE-004-AN-060</t>
        </is>
      </c>
      <c r="B64" s="59" t="inlineStr">
        <is>
          <t>AN-060</t>
        </is>
      </c>
      <c r="C64" s="59" t="inlineStr">
        <is>
          <t>צנתור, תומכן או ניתוח מעקפים</t>
        </is>
      </c>
      <c r="D64" s="161" t="inlineStr">
        <is>
          <t>כן, צנתור עם סטנט בגיל שישים; לא עשו לי ניתוח מעקפים.</t>
        </is>
      </c>
      <c r="E64" s="161" t="inlineStr">
        <is>
          <t>חשוב</t>
        </is>
      </c>
      <c r="F64" s="161" t="inlineStr">
        <is>
          <t>בירור צנתור, תומכן או ניתוח מעקפים משלים את הערכת גורמי הסיכון, מחלות הרקע, האבחנה המבדלת או התפקוד היומיומי.</t>
        </is>
      </c>
      <c r="G64" s="62" t="inlineStr">
        <is>
          <t>מאושר</t>
        </is>
      </c>
      <c r="H64" s="47" t="inlineStr">
        <is>
          <t>לענות רק למה שנשאל; מותר לנסח באופן טבעי בלי להוסיף עובדות.</t>
        </is>
      </c>
    </row>
    <row r="65">
      <c r="A65" s="42" t="inlineStr">
        <is>
          <t>CASE-004-AN-061</t>
        </is>
      </c>
      <c r="B65" s="59" t="inlineStr">
        <is>
          <t>AN-061</t>
        </is>
      </c>
      <c r="C65" s="59" t="inlineStr">
        <is>
          <t>ניתוח מסתמים, קוצב או טיפול בהפרעת קצב</t>
        </is>
      </c>
      <c r="D65" s="161" t="inlineStr">
        <is>
          <t>לא עברתי ניתוח מסתמים ואין לי קוצב; אני מקווה שגם לא אצטרך.</t>
        </is>
      </c>
      <c r="E65" s="161" t="inlineStr">
        <is>
          <t>משלים</t>
        </is>
      </c>
      <c r="F65" s="161" t="inlineStr">
        <is>
          <t>בירור ניתוח מסתמים, קוצב או טיפול בהפרעת קצב עשוי להוסיף הקשר, אך אינו מרכזי לזיהוי סיבת קוצר הנשימה במקרה זה.</t>
        </is>
      </c>
      <c r="G65" s="62" t="inlineStr">
        <is>
          <t>מאושר</t>
        </is>
      </c>
      <c r="H65" s="47" t="inlineStr">
        <is>
          <t>לענות רק למה שנשאל; מותר לנסח באופן טבעי בלי להוסיף עובדות.</t>
        </is>
      </c>
    </row>
    <row r="66">
      <c r="A66" s="42" t="inlineStr">
        <is>
          <t>CASE-004-AN-062</t>
        </is>
      </c>
      <c r="B66" s="59" t="inlineStr">
        <is>
          <t>AN-062</t>
        </is>
      </c>
      <c r="C66" s="59" t="inlineStr">
        <is>
          <t>שיקום לב</t>
        </is>
      </c>
      <c r="D66" s="162" t="inlineStr">
        <is>
          <t>שלחו אותי פעם לשיקום לב, הלכתי מעט ואז חזרתי לשבת בבית, אני מודה.</t>
        </is>
      </c>
      <c r="E66" s="162" t="inlineStr">
        <is>
          <t>משלים</t>
        </is>
      </c>
      <c r="F66" s="162" t="inlineStr">
        <is>
          <t>בירור שיקום לב עשוי להוסיף הקשר, אך אינו מרכזי לזיהוי סיבת קוצר הנשימה במקרה זה.</t>
        </is>
      </c>
      <c r="G66" s="62" t="inlineStr">
        <is>
          <t>מאושר</t>
        </is>
      </c>
      <c r="H66" s="47" t="inlineStr">
        <is>
          <t>לענות רק למה שנשאל; מותר לנסח באופן טבעי בלי להוסיף עובדות.</t>
        </is>
      </c>
    </row>
    <row r="67">
      <c r="A67" s="42" t="inlineStr">
        <is>
          <t>CASE-004-AN-063</t>
        </is>
      </c>
      <c r="B67" s="59" t="inlineStr">
        <is>
          <t>AN-063</t>
        </is>
      </c>
      <c r="C67" s="59" t="inlineStr">
        <is>
          <t>אק״ג או הולטר קודמים</t>
        </is>
      </c>
      <c r="D67" s="162" t="inlineStr">
        <is>
          <t>עשיתי אק״ג במעקבים, אמרו שרואים שהלב עבר התקף; אין לי תשובה ישנה איתי.</t>
        </is>
      </c>
      <c r="E67" s="162" t="inlineStr">
        <is>
          <t>חשוב</t>
        </is>
      </c>
      <c r="F67" s="162" t="inlineStr">
        <is>
          <t>בירור אק״ג או הולטר קודמים משלים את הערכת גורמי הסיכון, מחלות הרקע, האבחנה המבדלת או התפקוד היומיומי.</t>
        </is>
      </c>
      <c r="G67" s="62" t="inlineStr">
        <is>
          <t>מאושר</t>
        </is>
      </c>
      <c r="H67" s="47" t="inlineStr">
        <is>
          <t>לענות רק למה שנשאל; מותר לנסח באופן טבעי בלי להוסיף עובדות.</t>
        </is>
      </c>
    </row>
    <row r="68">
      <c r="A68" s="42" t="inlineStr">
        <is>
          <t>CASE-004-AN-064</t>
        </is>
      </c>
      <c r="B68" s="59" t="inlineStr">
        <is>
          <t>AN-064</t>
        </is>
      </c>
      <c r="C68" s="59" t="inlineStr">
        <is>
          <t>אקו, מבחן מאמץ או מיפוי לב</t>
        </is>
      </c>
      <c r="D68" s="162" t="inlineStr">
        <is>
          <t>עשו לי בדיקות לב בעבר, אבל לא זוכר את המספרים. עכשיו אמרו שכדאי לבדוק שוב.</t>
        </is>
      </c>
      <c r="E68" s="162" t="inlineStr">
        <is>
          <t>חשוב</t>
        </is>
      </c>
      <c r="F68" s="162" t="inlineStr">
        <is>
          <t>בירור אקו, מבחן מאמץ או מיפוי לב משלים את הערכת גורמי הסיכון, מחלות הרקע, האבחנה המבדלת או התפקוד היומיומי.</t>
        </is>
      </c>
      <c r="G68" s="62" t="inlineStr">
        <is>
          <t>מאושר</t>
        </is>
      </c>
      <c r="H68" s="47" t="inlineStr">
        <is>
          <t>לענות רק למה שנשאל; מותר לנסח באופן טבעי בלי להוסיף עובדות.</t>
        </is>
      </c>
    </row>
    <row r="69">
      <c r="A69" s="42" t="inlineStr">
        <is>
          <t>CASE-004-AN-065</t>
        </is>
      </c>
      <c r="B69" s="59" t="inlineStr">
        <is>
          <t>AN-065</t>
        </is>
      </c>
      <c r="C69" s="59" t="inlineStr">
        <is>
          <t>CT לבבי או צנתור אבחוני</t>
        </is>
      </c>
      <c r="D69" s="161" t="inlineStr">
        <is>
          <t>הצנתור היה לפני עשר שנים, כשעברתי התקף לב; מאז לא עשו לי צנתור נוסף.</t>
        </is>
      </c>
      <c r="E69" s="161" t="inlineStr">
        <is>
          <t>בדרך כלל לא מרכזי</t>
        </is>
      </c>
      <c r="F69" s="161" t="inlineStr">
        <is>
          <t>בירור CT לבבי או צנתור אבחוני עשוי להוסיף הקשר, אך אינו מרכזי לזיהוי סיבת קוצר הנשימה במקרה זה.</t>
        </is>
      </c>
      <c r="G69" s="62" t="inlineStr">
        <is>
          <t>מאושר</t>
        </is>
      </c>
      <c r="H69" s="47" t="inlineStr">
        <is>
          <t>לענות רק למה שנשאל; מותר לנסח באופן טבעי בלי להוסיף עובדות.</t>
        </is>
      </c>
    </row>
    <row r="70">
      <c r="A70" s="42" t="inlineStr">
        <is>
          <t>CASE-004-AN-066</t>
        </is>
      </c>
      <c r="B70" s="59" t="inlineStr">
        <is>
          <t>AN-066</t>
        </is>
      </c>
      <c r="C70" s="59" t="inlineStr">
        <is>
          <t>כל התרופות הקבועות</t>
        </is>
      </c>
      <c r="D70" s="162" t="inlineStr">
        <is>
          <t>יש לי אספירין, כדור לכולסטרול, כדור ללחץ דם וכדור לסוכרת. אם רוצים את השמות, אשתי יודעת יותר טוב ממני.</t>
        </is>
      </c>
      <c r="E70" s="162" t="inlineStr">
        <is>
          <t>חיוני במקרה</t>
        </is>
      </c>
      <c r="F70" s="162" t="inlineStr">
        <is>
          <t>בירור כל התרופות הקבועות מסייע לזהות את חומרת קוצר הנשימה, הגודש או הרקע הלבבי, ולכן משמעותי בקבלת ההחלטות.</t>
        </is>
      </c>
      <c r="G70" s="62" t="inlineStr">
        <is>
          <t>מאושר</t>
        </is>
      </c>
      <c r="H70" s="47" t="inlineStr">
        <is>
          <t>לענות רק למה שנשאל; מותר לנסח באופן טבעי בלי להוסיף עובדות.</t>
        </is>
      </c>
    </row>
    <row r="71">
      <c r="A71" s="42" t="inlineStr">
        <is>
          <t>CASE-004-AN-067</t>
        </is>
      </c>
      <c r="B71" s="59" t="inlineStr">
        <is>
          <t>AN-067</t>
        </is>
      </c>
      <c r="C71" s="59" t="inlineStr">
        <is>
          <t>נטילה בפועל</t>
        </is>
      </c>
      <c r="D71" s="161" t="inlineStr">
        <is>
          <t>אני משתדל לקחת, אבל לפעמים שכחתי בבוקר ואז כבר עבר היום; זה קורה עם כמה כדורים, לא רק אספירין.</t>
        </is>
      </c>
      <c r="E71" s="161" t="inlineStr">
        <is>
          <t>חיוני במקרה</t>
        </is>
      </c>
      <c r="F71" s="161" t="inlineStr">
        <is>
          <t>בירור נטילה בפועל מסייע לזהות את חומרת קוצר הנשימה, הגודש או הרקע הלבבי, ולכן משמעותי בקבלת ההחלטות.</t>
        </is>
      </c>
      <c r="G71" s="62" t="inlineStr">
        <is>
          <t>מאושר</t>
        </is>
      </c>
      <c r="H71" s="47" t="inlineStr">
        <is>
          <t>לענות רק למה שנשאל; מותר לנסח באופן טבעי בלי להוסיף עובדות.</t>
        </is>
      </c>
    </row>
    <row r="72">
      <c r="A72" s="42" t="inlineStr">
        <is>
          <t>CASE-004-AN-068</t>
        </is>
      </c>
      <c r="B72" s="59" t="inlineStr">
        <is>
          <t>AN-068</t>
        </is>
      </c>
      <c r="C72" s="59" t="inlineStr">
        <is>
          <t>שינוי או הפסקת תרופה לאחרונה</t>
        </is>
      </c>
      <c r="D72" s="162" t="inlineStr">
        <is>
          <t>לא הרופא הפסיק לי תרופה; אני בעצמי פספסתי כמה מנות לאחרונה.</t>
        </is>
      </c>
      <c r="E72" s="162" t="inlineStr">
        <is>
          <t>חיוני במקרה</t>
        </is>
      </c>
      <c r="F72" s="162" t="inlineStr">
        <is>
          <t>בירור שינוי או הפסקת תרופה לאחרונה מסייע לזהות את חומרת קוצר הנשימה, הגודש או הרקע הלבבי, ולכן משמעותי בקבלת ההחלטות.</t>
        </is>
      </c>
      <c r="G72" s="62" t="inlineStr">
        <is>
          <t>מאושר</t>
        </is>
      </c>
      <c r="H72" s="47" t="inlineStr">
        <is>
          <t>לענות רק למה שנשאל; מותר לנסח באופן טבעי בלי להוסיף עובדות.</t>
        </is>
      </c>
    </row>
    <row r="73">
      <c r="A73" s="42" t="inlineStr">
        <is>
          <t>CASE-004-AN-069</t>
        </is>
      </c>
      <c r="B73" s="59" t="inlineStr">
        <is>
          <t>AN-069</t>
        </is>
      </c>
      <c r="C73" s="59" t="inlineStr">
        <is>
          <t>תרופה שנלקחה בזמן האירוע</t>
        </is>
      </c>
      <c r="D73" s="161" t="inlineStr">
        <is>
          <t>לא לקחתי משהו מיוחד כשהתחיל קוצר הנשימה, רק התיישבתי וחיכיתי שיעבור.</t>
        </is>
      </c>
      <c r="E73" s="161" t="inlineStr">
        <is>
          <t>חשוב</t>
        </is>
      </c>
      <c r="F73" s="161" t="inlineStr">
        <is>
          <t>בירור תרופה שנלקחה בזמן האירוע משלים את הערכת גורמי הסיכון, מחלות הרקע, האבחנה המבדלת או התפקוד היומיומי.</t>
        </is>
      </c>
      <c r="G73" s="62" t="inlineStr">
        <is>
          <t>מאושר</t>
        </is>
      </c>
      <c r="H73" s="47" t="inlineStr">
        <is>
          <t>לענות רק למה שנשאל; מותר לנסח באופן טבעי בלי להוסיף עובדות.</t>
        </is>
      </c>
    </row>
    <row r="74">
      <c r="A74" s="42" t="inlineStr">
        <is>
          <t>CASE-004-AN-070</t>
        </is>
      </c>
      <c r="B74" s="59" t="inlineStr">
        <is>
          <t>AN-070</t>
        </is>
      </c>
      <c r="C74" s="59" t="inlineStr">
        <is>
          <t>הבנת הסיבה לטיפול</t>
        </is>
      </c>
      <c r="D74" s="161" t="inlineStr">
        <is>
          <t>אני יודע שהכדורים חשובים ללב, ללחץ הדם ולסוכר, אבל לפעמים אני אומר לעצמי שמחר אקפיד.</t>
        </is>
      </c>
      <c r="E74" s="161" t="inlineStr">
        <is>
          <t>בדרך כלל לא מרכזי</t>
        </is>
      </c>
      <c r="F74" s="161" t="inlineStr">
        <is>
          <t>בירור הבנת הסיבה לטיפול עשוי להוסיף הקשר, אך אינו מרכזי לזיהוי סיבת קוצר הנשימה במקרה זה.</t>
        </is>
      </c>
      <c r="G74" s="62" t="inlineStr">
        <is>
          <t>מאושר</t>
        </is>
      </c>
      <c r="H74" s="47" t="inlineStr">
        <is>
          <t>לענות רק למה שנשאל; מותר לנסח באופן טבעי בלי להוסיף עובדות.</t>
        </is>
      </c>
    </row>
    <row r="75">
      <c r="A75" s="42" t="inlineStr">
        <is>
          <t>CASE-004-AN-071</t>
        </is>
      </c>
      <c r="B75" s="59" t="inlineStr">
        <is>
          <t>AN-071</t>
        </is>
      </c>
      <c r="C75" s="59" t="inlineStr">
        <is>
          <t>מחלות לב במשפחה</t>
        </is>
      </c>
      <c r="D75" s="161" t="inlineStr">
        <is>
          <t>אמא שלי סבלה מלחץ דם וסוכרת וגם בעיות לב וכליות; אבא מת מהתקף לב.</t>
        </is>
      </c>
      <c r="E75" s="161" t="inlineStr">
        <is>
          <t>חשוב</t>
        </is>
      </c>
      <c r="F75" s="161" t="inlineStr">
        <is>
          <t>בירור מחלות לב במשפחה משלים את הערכת גורמי הסיכון, מחלות הרקע, האבחנה המבדלת או התפקוד היומיומי.</t>
        </is>
      </c>
      <c r="G75" s="62" t="inlineStr">
        <is>
          <t>מאושר</t>
        </is>
      </c>
      <c r="H75" s="47" t="inlineStr">
        <is>
          <t>לענות רק למה שנשאל; מותר לנסח באופן טבעי בלי להוסיף עובדות.</t>
        </is>
      </c>
    </row>
    <row r="76">
      <c r="A76" s="42" t="inlineStr">
        <is>
          <t>CASE-004-AN-072</t>
        </is>
      </c>
      <c r="B76" s="59" t="inlineStr">
        <is>
          <t>AN-072</t>
        </is>
      </c>
      <c r="C76" s="59" t="inlineStr">
        <is>
          <t>אוטם או מוות פתאומי ובאיזה גיל</t>
        </is>
      </c>
      <c r="D76" s="161" t="inlineStr">
        <is>
          <t>אבא שלי נפטר מהתקף לב בגיל שבעים ושבע. זה תמיד מפחיד אותי כשיש משהו בחזה.</t>
        </is>
      </c>
      <c r="E76" s="161" t="inlineStr">
        <is>
          <t>חשוב</t>
        </is>
      </c>
      <c r="F76" s="161" t="inlineStr">
        <is>
          <t>בירור אוטם או מוות פתאומי ובאיזה גיל משלים את הערכת גורמי הסיכון, מחלות הרקע, האבחנה המבדלת או התפקוד היומיומי.</t>
        </is>
      </c>
      <c r="G76" s="62" t="inlineStr">
        <is>
          <t>מאושר</t>
        </is>
      </c>
      <c r="H76" s="47" t="inlineStr">
        <is>
          <t>לענות רק למה שנשאל; מותר לנסח באופן טבעי בלי להוסיף עובדות.</t>
        </is>
      </c>
    </row>
    <row r="77">
      <c r="A77" s="42" t="inlineStr">
        <is>
          <t>CASE-004-AN-073</t>
        </is>
      </c>
      <c r="B77" s="59" t="inlineStr">
        <is>
          <t>AN-073</t>
        </is>
      </c>
      <c r="C77" s="59" t="inlineStr">
        <is>
          <t>סוכרת, יתר לחץ דם והיפרליפידמיה במשפחה</t>
        </is>
      </c>
      <c r="D77" s="161" t="inlineStr">
        <is>
          <t>לאמא היו גם סוכרת וגם לחץ דם, ולאבא בעיות לב; לגבי כולסטרול אצלם אני לא יודע.</t>
        </is>
      </c>
      <c r="E77" s="161" t="inlineStr">
        <is>
          <t>חשוב</t>
        </is>
      </c>
      <c r="F77" s="161" t="inlineStr">
        <is>
          <t>בירור סוכרת, יתר לחץ דם והיפרליפידמיה במשפחה משלים את הערכת גורמי הסיכון, מחלות הרקע, האבחנה המבדלת או התפקוד היומיומי.</t>
        </is>
      </c>
      <c r="G77" s="62" t="inlineStr">
        <is>
          <t>מאושר</t>
        </is>
      </c>
      <c r="H77" s="47" t="inlineStr">
        <is>
          <t>לענות רק למה שנשאל; מותר לנסח באופן טבעי בלי להוסיף עובדות.</t>
        </is>
      </c>
    </row>
    <row r="78">
      <c r="A78" s="42" t="inlineStr">
        <is>
          <t>CASE-004-AN-074</t>
        </is>
      </c>
      <c r="B78" s="59" t="inlineStr">
        <is>
          <t>AN-074</t>
        </is>
      </c>
      <c r="C78" s="59" t="inlineStr">
        <is>
          <t>עישון בהווה ובעבר</t>
        </is>
      </c>
      <c r="D78" s="161" t="inlineStr">
        <is>
          <t>עישנתי מגיל חמש עשרה שתי־שלוש חפיסות ביום עד גיל שישים; אחרי ההתקף ירדתי, אבל עדיין חצי חפיסה ביום.</t>
        </is>
      </c>
      <c r="E78" s="161" t="inlineStr">
        <is>
          <t>חיוני במקרה</t>
        </is>
      </c>
      <c r="F78" s="161" t="inlineStr">
        <is>
          <t>בירור עישון בהווה ובעבר מסייע לזהות את חומרת קוצר הנשימה, הגודש או הרקע הלבבי, ולכן משמעותי בקבלת ההחלטות.</t>
        </is>
      </c>
      <c r="G78" s="62" t="inlineStr">
        <is>
          <t>מאושר</t>
        </is>
      </c>
      <c r="H78" s="47" t="inlineStr">
        <is>
          <t>לענות רק למה שנשאל; מותר לנסח באופן טבעי בלי להוסיף עובדות.</t>
        </is>
      </c>
    </row>
    <row r="79">
      <c r="A79" s="42" t="inlineStr">
        <is>
          <t>CASE-004-AN-075</t>
        </is>
      </c>
      <c r="B79" s="59" t="inlineStr">
        <is>
          <t>AN-075</t>
        </is>
      </c>
      <c r="C79" s="59" t="inlineStr">
        <is>
          <t>דפוס תזונה</t>
        </is>
      </c>
      <c r="D79" s="162" t="inlineStr">
        <is>
          <t>אני אוהב מאפים, ארוחות גדולות ואוכל מתובל; משתדל לשמור, אבל נשבר לי מהר. גם מלח כנראה יש יותר מדי.</t>
        </is>
      </c>
      <c r="E79" s="162" t="inlineStr">
        <is>
          <t>חשוב</t>
        </is>
      </c>
      <c r="F79" s="162" t="inlineStr">
        <is>
          <t>בירור דפוס תזונה משלים את הערכת גורמי הסיכון, מחלות הרקע, האבחנה המבדלת או התפקוד היומיומי.</t>
        </is>
      </c>
      <c r="G79" s="62" t="inlineStr">
        <is>
          <t>מאושר</t>
        </is>
      </c>
      <c r="H79" s="47" t="inlineStr">
        <is>
          <t>לענות רק למה שנשאל; מותר לנסח באופן טבעי בלי להוסיף עובדות.</t>
        </is>
      </c>
    </row>
    <row r="80">
      <c r="A80" s="42" t="inlineStr">
        <is>
          <t>CASE-004-AN-076</t>
        </is>
      </c>
      <c r="B80" s="59" t="inlineStr">
        <is>
          <t>AN-076</t>
        </is>
      </c>
      <c r="C80" s="59" t="inlineStr">
        <is>
          <t>פעילות גופנית קבועה</t>
        </is>
      </c>
      <c r="D80" s="161" t="inlineStr">
        <is>
          <t>כמעט לא. אשתי מנסה לשכנע אותי ללכת, ואני תמיד מוצא משהו אחר לעשות.</t>
        </is>
      </c>
      <c r="E80" s="161" t="inlineStr">
        <is>
          <t>חשוב</t>
        </is>
      </c>
      <c r="F80" s="161" t="inlineStr">
        <is>
          <t>בירור פעילות גופנית קבועה משלים את הערכת גורמי הסיכון, מחלות הרקע, האבחנה המבדלת או התפקוד היומיומי.</t>
        </is>
      </c>
      <c r="G80" s="62" t="inlineStr">
        <is>
          <t>מאושר</t>
        </is>
      </c>
      <c r="H80" s="47" t="inlineStr">
        <is>
          <t>לענות רק למה שנשאל; מותר לנסח באופן טבעי בלי להוסיף עובדות.</t>
        </is>
      </c>
    </row>
    <row r="81">
      <c r="A81" s="42" t="inlineStr">
        <is>
          <t>CASE-004-AN-077</t>
        </is>
      </c>
      <c r="B81" s="59" t="inlineStr">
        <is>
          <t>AN-077</t>
        </is>
      </c>
      <c r="C81" s="59" t="inlineStr">
        <is>
          <t>ישיבה ממושכת ואורח חיים יושבני</t>
        </is>
      </c>
      <c r="D81" s="161" t="inlineStr">
        <is>
          <t>כל היום ישבתי מול חשבונות. גם בפנסיה אני מוצא את עצמי בכורסה.</t>
        </is>
      </c>
      <c r="E81" s="161" t="inlineStr">
        <is>
          <t>חשוב</t>
        </is>
      </c>
      <c r="F81" s="161" t="inlineStr">
        <is>
          <t>בירור ישיבה ממושכת ואורח חיים יושבני משלים את הערכת גורמי הסיכון, מחלות הרקע, האבחנה המבדלת או התפקוד היומיומי.</t>
        </is>
      </c>
      <c r="G81" s="62" t="inlineStr">
        <is>
          <t>מאושר</t>
        </is>
      </c>
      <c r="H81" s="47" t="inlineStr">
        <is>
          <t>לענות רק למה שנשאל; מותר לנסח באופן טבעי בלי להוסיף עובדות.</t>
        </is>
      </c>
    </row>
    <row r="82">
      <c r="A82" s="42" t="inlineStr">
        <is>
          <t>CASE-004-AN-078</t>
        </is>
      </c>
      <c r="B82" s="59" t="inlineStr">
        <is>
          <t>AN-078</t>
        </is>
      </c>
      <c r="C82" s="59" t="inlineStr">
        <is>
          <t>צריכת אלכוהול</t>
        </is>
      </c>
      <c r="D82" s="161" t="inlineStr">
        <is>
          <t>כוסית ערק בכל יום, ובסופי שבוע לפעמים יותר. לא חשבתי שזה חשוב לנשימה.</t>
        </is>
      </c>
      <c r="E82" s="161" t="inlineStr">
        <is>
          <t>חשוב</t>
        </is>
      </c>
      <c r="F82" s="161" t="inlineStr">
        <is>
          <t>בירור צריכת אלכוהול משלים את הערכת גורמי הסיכון, מחלות הרקע, האבחנה המבדלת או התפקוד היומיומי.</t>
        </is>
      </c>
      <c r="G82" s="62" t="inlineStr">
        <is>
          <t>מאושר</t>
        </is>
      </c>
      <c r="H82" s="47" t="inlineStr">
        <is>
          <t>לענות רק למה שנשאל; מותר לנסח באופן טבעי בלי להוסיף עובדות.</t>
        </is>
      </c>
    </row>
    <row r="83">
      <c r="A83" s="42" t="inlineStr">
        <is>
          <t>CASE-004-AN-079</t>
        </is>
      </c>
      <c r="B83" s="59" t="inlineStr">
        <is>
          <t>AN-079</t>
        </is>
      </c>
      <c r="C83" s="59" t="inlineStr">
        <is>
          <t>שימוש בסמים או בחומרים ממריצים</t>
        </is>
      </c>
      <c r="D83" s="161" t="inlineStr">
        <is>
          <t>לא השתמשתי בסמים או בכדורים ממריצים.</t>
        </is>
      </c>
      <c r="E83" s="161" t="inlineStr">
        <is>
          <t>משלים</t>
        </is>
      </c>
      <c r="F83" s="161" t="inlineStr">
        <is>
          <t>בירור שימוש בסמים או בחומרים ממריצים עשוי להוסיף הקשר, אך אינו מרכזי לזיהוי סיבת קוצר הנשימה במקרה זה.</t>
        </is>
      </c>
      <c r="G83" s="62" t="inlineStr">
        <is>
          <t>מאושר</t>
        </is>
      </c>
      <c r="H83" s="47" t="inlineStr">
        <is>
          <t>לענות רק למה שנשאל; מותר לנסח באופן טבעי בלי להוסיף עובדות.</t>
        </is>
      </c>
    </row>
    <row r="84">
      <c r="A84" s="42" t="inlineStr">
        <is>
          <t>CASE-004-AN-080</t>
        </is>
      </c>
      <c r="B84" s="59" t="inlineStr">
        <is>
          <t>AN-080</t>
        </is>
      </c>
      <c r="C84" s="59" t="inlineStr">
        <is>
          <t>מתח נפשי</t>
        </is>
      </c>
      <c r="D84" s="161" t="inlineStr">
        <is>
          <t>במשרד היה לי מתח תמידי; גם היום אני קצת דאגן ולא נרגע בקלות.</t>
        </is>
      </c>
      <c r="E84" s="161" t="inlineStr">
        <is>
          <t>חשוב</t>
        </is>
      </c>
      <c r="F84" s="161" t="inlineStr">
        <is>
          <t>בירור מתח נפשי משלים את הערכת גורמי הסיכון, מחלות הרקע, האבחנה המבדלת או התפקוד היומיומי.</t>
        </is>
      </c>
      <c r="G84" s="62" t="inlineStr">
        <is>
          <t>מאושר</t>
        </is>
      </c>
      <c r="H84" s="47" t="inlineStr">
        <is>
          <t>לענות רק למה שנשאל; מותר לנסח באופן טבעי בלי להוסיף עובדות.</t>
        </is>
      </c>
    </row>
    <row r="85">
      <c r="A85" s="42" t="inlineStr">
        <is>
          <t>CASE-004-AN-081</t>
        </is>
      </c>
      <c r="B85" s="59" t="inlineStr">
        <is>
          <t>AN-081</t>
        </is>
      </c>
      <c r="C85" s="59" t="inlineStr">
        <is>
          <t>משקל ושינוי במשקל</t>
        </is>
      </c>
      <c r="D85" s="162" t="inlineStr">
        <is>
          <t>אני 95 קילו, והרגשתי שהמשקל קצת עלה בשבועות האחרונים; לא שקלתי כל יום.</t>
        </is>
      </c>
      <c r="E85" s="162" t="inlineStr">
        <is>
          <t>חיוני במקרה</t>
        </is>
      </c>
      <c r="F85" s="162" t="inlineStr">
        <is>
          <t>בירור משקל ושינוי במשקל מסייע לזהות את חומרת קוצר הנשימה, הגודש או הרקע הלבבי, ולכן משמעותי בקבלת ההחלטות.</t>
        </is>
      </c>
      <c r="G85" s="62" t="inlineStr">
        <is>
          <t>מאושר</t>
        </is>
      </c>
      <c r="H85" s="47" t="inlineStr">
        <is>
          <t>לענות רק למה שנשאל; מותר לנסח באופן טבעי בלי להוסיף עובדות.</t>
        </is>
      </c>
    </row>
    <row r="86">
      <c r="A86" s="42" t="inlineStr">
        <is>
          <t>CASE-004-AN-082</t>
        </is>
      </c>
      <c r="B86" s="59" t="inlineStr">
        <is>
          <t>AN-082</t>
        </is>
      </c>
      <c r="C86" s="59" t="inlineStr">
        <is>
          <t>תחביבים בעלי משמעות תפקודית</t>
        </is>
      </c>
      <c r="D86" s="161" t="inlineStr">
        <is>
          <t>אני אוהב לבלות עם הנכדים, אבל לאחרונה אפילו טיול קצר איתם מעייף אותי.</t>
        </is>
      </c>
      <c r="E86" s="161" t="inlineStr">
        <is>
          <t>משלים</t>
        </is>
      </c>
      <c r="F86" s="161" t="inlineStr">
        <is>
          <t>בירור תחביבים בעלי משמעות תפקודית עשוי להוסיף הקשר, אך אינו מרכזי לזיהוי סיבת קוצר הנשימה במקרה זה.</t>
        </is>
      </c>
      <c r="G86" s="62" t="inlineStr">
        <is>
          <t>מאושר</t>
        </is>
      </c>
      <c r="H86" s="47" t="inlineStr">
        <is>
          <t>לענות רק למה שנשאל; מותר לנסח באופן טבעי בלי להוסיף עובדות.</t>
        </is>
      </c>
    </row>
    <row r="87">
      <c r="A87" s="42" t="inlineStr">
        <is>
          <t>CASE-004-AN-083</t>
        </is>
      </c>
      <c r="B87" s="59" t="inlineStr">
        <is>
          <t>AN-083</t>
        </is>
      </c>
      <c r="C87" s="59" t="inlineStr">
        <is>
          <t>רגישות לתרופות</t>
        </is>
      </c>
      <c r="D87" s="162" t="inlineStr">
        <is>
          <t>לא ידועה לי אלרגיה לתרופות.</t>
        </is>
      </c>
      <c r="E87" s="162" t="inlineStr">
        <is>
          <t>משלים</t>
        </is>
      </c>
      <c r="F87" s="162" t="inlineStr">
        <is>
          <t>בירור רגישות לתרופות עשוי להוסיף הקשר, אך אינו מרכזי לזיהוי סיבת קוצר הנשימה במקרה זה.</t>
        </is>
      </c>
      <c r="G87" s="62" t="inlineStr">
        <is>
          <t>מאושר</t>
        </is>
      </c>
      <c r="H87" s="47" t="inlineStr">
        <is>
          <t>לענות רק למה שנשאל; מותר לנסח באופן טבעי בלי להוסיף עובדות.</t>
        </is>
      </c>
    </row>
    <row r="88">
      <c r="A88" s="42" t="inlineStr">
        <is>
          <t>CASE-004-AN-084</t>
        </is>
      </c>
      <c r="B88" s="59" t="inlineStr">
        <is>
          <t>AN-084</t>
        </is>
      </c>
      <c r="C88" s="59" t="inlineStr">
        <is>
          <t>תגובה לחומר ניגוד או חומרים אחרים</t>
        </is>
      </c>
      <c r="D88" s="162" t="inlineStr">
        <is>
          <t>לא זכורה לי תגובה לחומר הניגוד שנתנו בצנתור הקודם.</t>
        </is>
      </c>
      <c r="E88" s="162" t="inlineStr">
        <is>
          <t>משלים</t>
        </is>
      </c>
      <c r="F88" s="162" t="inlineStr">
        <is>
          <t>בירור תגובה לחומר ניגוד או חומרים אחרים עשוי להוסיף הקשר, אך אינו מרכזי לזיהוי סיבת קוצר הנשימה במקרה זה.</t>
        </is>
      </c>
      <c r="G88" s="62" t="inlineStr">
        <is>
          <t>מאושר</t>
        </is>
      </c>
      <c r="H88" s="47" t="inlineStr">
        <is>
          <t>לענות רק למה שנשאל; מותר לנסח באופן טבעי בלי להוסיף עובדות.</t>
        </is>
      </c>
    </row>
    <row r="89">
      <c r="A89" s="42" t="inlineStr">
        <is>
          <t>CASE-004-AN-085</t>
        </is>
      </c>
      <c r="B89" s="59" t="inlineStr">
        <is>
          <t>AN-085</t>
        </is>
      </c>
      <c r="C89" s="59" t="inlineStr">
        <is>
          <t>קשר לנשימה</t>
        </is>
      </c>
      <c r="D89" s="161" t="inlineStr">
        <is>
          <t>אין כאב חד כשאני נושם; הבעיה היא שאני לא מצליח לקחת מספיק אוויר.</t>
        </is>
      </c>
      <c r="E89" s="161" t="inlineStr">
        <is>
          <t>בדרך כלל לא מרכזי</t>
        </is>
      </c>
      <c r="F89" s="161" t="inlineStr">
        <is>
          <t>בירור קשר לנשימה עשוי להוסיף הקשר, אך אינו מרכזי לזיהוי סיבת קוצר הנשימה במקרה זה.</t>
        </is>
      </c>
      <c r="G89" s="62" t="inlineStr">
        <is>
          <t>מאושר</t>
        </is>
      </c>
      <c r="H89" s="47" t="inlineStr">
        <is>
          <t>לענות רק למה שנשאל; מותר לנסח באופן טבעי בלי להוסיף עובדות.</t>
        </is>
      </c>
    </row>
    <row r="90">
      <c r="A90" s="42" t="inlineStr">
        <is>
          <t>CASE-004-AN-086</t>
        </is>
      </c>
      <c r="B90" s="59" t="inlineStr">
        <is>
          <t>AN-086</t>
        </is>
      </c>
      <c r="C90" s="59" t="inlineStr">
        <is>
          <t>קשר לתנוחה</t>
        </is>
      </c>
      <c r="D90" s="161" t="inlineStr">
        <is>
          <t>בשכיבה הכול מחמיר, בישיבה זקופה הרבה יותר קל.</t>
        </is>
      </c>
      <c r="E90" s="161" t="inlineStr">
        <is>
          <t>חיוני במקרה</t>
        </is>
      </c>
      <c r="F90" s="161" t="inlineStr">
        <is>
          <t>בירור קשר לתנוחה מסייע לזהות את חומרת קוצר הנשימה, הגודש או הרקע הלבבי, ולכן משמעותי בקבלת ההחלטות.</t>
        </is>
      </c>
      <c r="G90" s="62" t="inlineStr">
        <is>
          <t>מאושר</t>
        </is>
      </c>
      <c r="H90" s="47" t="inlineStr">
        <is>
          <t>לענות רק למה שנשאל; מותר לנסח באופן טבעי בלי להוסיף עובדות.</t>
        </is>
      </c>
    </row>
    <row r="91">
      <c r="A91" s="42" t="inlineStr">
        <is>
          <t>CASE-004-AN-087</t>
        </is>
      </c>
      <c r="B91" s="59" t="inlineStr">
        <is>
          <t>AN-087</t>
        </is>
      </c>
      <c r="C91" s="59" t="inlineStr">
        <is>
          <t>קשר לתנועה או ללחיצה</t>
        </is>
      </c>
      <c r="D91" s="161" t="inlineStr">
        <is>
          <t>הנשימה לא משתנה כשאני לוחץ על החזה או מסובב את הגוף.</t>
        </is>
      </c>
      <c r="E91" s="161" t="inlineStr">
        <is>
          <t>משלים</t>
        </is>
      </c>
      <c r="F91" s="161" t="inlineStr">
        <is>
          <t>בירור קשר לתנועה או ללחיצה עשוי להוסיף הקשר, אך אינו מרכזי לזיהוי סיבת קוצר הנשימה במקרה זה.</t>
        </is>
      </c>
      <c r="G91" s="62" t="inlineStr">
        <is>
          <t>מאושר</t>
        </is>
      </c>
      <c r="H91" s="47" t="inlineStr">
        <is>
          <t>לענות רק למה שנשאל; מותר לנסח באופן טבעי בלי להוסיף עובדות.</t>
        </is>
      </c>
    </row>
    <row r="92">
      <c r="A92" s="42" t="inlineStr">
        <is>
          <t>CASE-004-AN-088</t>
        </is>
      </c>
      <c r="B92" s="59" t="inlineStr">
        <is>
          <t>AN-088</t>
        </is>
      </c>
      <c r="C92" s="59" t="inlineStr">
        <is>
          <t>קשר לאוכל או צרבת</t>
        </is>
      </c>
      <c r="D92" s="161" t="inlineStr">
        <is>
          <t>אין לי צרבת שמסבירה את המחנק; לא קשור בהכרח למה שאכלתי.</t>
        </is>
      </c>
      <c r="E92" s="161" t="inlineStr">
        <is>
          <t>משלים</t>
        </is>
      </c>
      <c r="F92" s="161" t="inlineStr">
        <is>
          <t>בירור קשר לאוכל או צרבת עשוי להוסיף הקשר, אך אינו מרכזי לזיהוי סיבת קוצר הנשימה במקרה זה.</t>
        </is>
      </c>
      <c r="G92" s="62" t="inlineStr">
        <is>
          <t>מאושר</t>
        </is>
      </c>
      <c r="H92" s="47" t="inlineStr">
        <is>
          <t>לענות רק למה שנשאל; מותר לנסח באופן טבעי בלי להוסיף עובדות.</t>
        </is>
      </c>
    </row>
    <row r="93">
      <c r="A93" s="44" t="inlineStr">
        <is>
          <t>CASE-004-AN-089</t>
        </is>
      </c>
      <c r="B93" s="60" t="inlineStr">
        <is>
          <t>AN-089</t>
        </is>
      </c>
      <c r="C93" s="60" t="inlineStr">
        <is>
          <t>חום, שיעול או מחלה נשימתית</t>
        </is>
      </c>
      <c r="D93" s="163" t="inlineStr">
        <is>
          <t>אין חום, אין צמרמורות ואין ליחה מוגלתית; רק שיעול קל בעיקר בלילה.</t>
        </is>
      </c>
      <c r="E93" s="163" t="inlineStr">
        <is>
          <t>חשוב</t>
        </is>
      </c>
      <c r="F93" s="163" t="inlineStr">
        <is>
          <t>בירור חום, שיעול או מחלה נשימתית משלים את הערכת גורמי הסיכון, מחלות הרקע, האבחנה המבדלת או התפקוד היומיומי.</t>
        </is>
      </c>
      <c r="G93" s="63" t="inlineStr">
        <is>
          <t>מאושר</t>
        </is>
      </c>
      <c r="H93" s="48" t="inlineStr">
        <is>
          <t>לענות רק למה שנשאל; מותר לנסח באופן טבעי בלי להוסיף עובדות.</t>
        </is>
      </c>
    </row>
  </sheetData>
  <mergeCells count="2">
    <mergeCell ref="A2:H2"/>
    <mergeCell ref="A1:H1"/>
  </mergeCells>
  <conditionalFormatting sqref="E5:E93">
    <cfRule type="containsText" priority="1" operator="containsText" dxfId="0" text="חיוני במקרה"/>
    <cfRule type="containsText" priority="2" operator="containsText" dxfId="1" text="חשוב"/>
    <cfRule type="containsText" priority="3" operator="containsText" dxfId="2" text="משלים"/>
    <cfRule type="containsText" priority="4" operator="containsText" dxfId="3" text="בדרך כלל לא מרכזי"/>
  </conditionalFormatting>
  <dataValidations count="1">
    <dataValidation sqref="E5:E93" showDropDown="0" showInputMessage="0" showErrorMessage="0" allowBlank="0" type="list">
      <formula1>"חיוני במקרה,חשוב,משלים,בדרך כלל לא מרכזי"</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9"/>
  <sheetViews>
    <sheetView showGridLines="0" workbookViewId="0">
      <selection activeCell="A1" sqref="A1"/>
    </sheetView>
  </sheetViews>
  <sheetFormatPr baseColWidth="8" defaultRowHeight="15"/>
  <cols>
    <col width="16.67000007629395" customWidth="1" min="1" max="1"/>
    <col width="12.22000026702881" customWidth="1" min="2" max="2"/>
    <col width="26.67000007629395" customWidth="1" min="3" max="3"/>
    <col width="43.33000183105469" customWidth="1" min="4" max="4"/>
    <col width="13.89000034332275" customWidth="1" min="5" max="5"/>
    <col width="37.77999877929688" customWidth="1" min="6" max="6"/>
    <col width="10" customWidth="1" min="7" max="7"/>
    <col width="23.32999992370605" customWidth="1" min="8" max="8"/>
  </cols>
  <sheetData>
    <row r="1" ht="30" customHeight="1">
      <c r="A1" s="4" t="inlineStr">
        <is>
          <t>תבנית בדיקה גופנית</t>
        </is>
      </c>
    </row>
    <row r="2" ht="34" customHeight="1">
      <c r="A2" s="9" t="inlineStr">
        <is>
          <t>כל 45 מזהי הבדיקה קיימים. מלאו ממצא קבוע, חשיבות והיגיון.</t>
        </is>
      </c>
    </row>
    <row r="3"/>
    <row r="4" ht="36" customHeight="1">
      <c r="A4" s="20" t="inlineStr">
        <is>
          <t>מזהה ערך בתיק</t>
        </is>
      </c>
      <c r="B4" s="20" t="inlineStr">
        <is>
          <t>מזהה רכיב בסיס</t>
        </is>
      </c>
      <c r="C4" s="20" t="inlineStr">
        <is>
          <t>רכיב בדיקה</t>
        </is>
      </c>
      <c r="D4" s="20" t="inlineStr">
        <is>
          <t>ממצא במקרה</t>
        </is>
      </c>
      <c r="E4" s="20" t="inlineStr">
        <is>
          <t>חשיבות במקרה</t>
        </is>
      </c>
      <c r="F4" s="20" t="inlineStr">
        <is>
          <t>היגיון למשוב</t>
        </is>
      </c>
      <c r="G4" s="20" t="inlineStr">
        <is>
          <t>סטטוס</t>
        </is>
      </c>
      <c r="H4" s="20" t="inlineStr">
        <is>
          <t>הערות הפעלה</t>
        </is>
      </c>
    </row>
    <row r="5">
      <c r="A5" s="40" t="inlineStr">
        <is>
          <t>CASE-004-PE-001</t>
        </is>
      </c>
      <c r="B5" s="58" t="inlineStr">
        <is>
          <t>PE-001</t>
        </is>
      </c>
      <c r="C5" s="58" t="inlineStr">
        <is>
          <t>מראה כללי וסימני מצוקה</t>
        </is>
      </c>
      <c r="D5" s="160" t="inlineStr">
        <is>
          <t>בהכרה מלאה, חרד, במצוקה נשימתית בינונית, יושב זקוף.</t>
        </is>
      </c>
      <c r="E5" s="160" t="inlineStr">
        <is>
          <t>חיוני במקרה</t>
        </is>
      </c>
      <c r="F5" s="160" t="inlineStr">
        <is>
          <t>הממצא בתחום מראה כללי וסימני מצוקה מסייע להעריך גודש, חמצון או חומרת אי־ספיקת הלב.</t>
        </is>
      </c>
      <c r="G5" s="61" t="inlineStr">
        <is>
          <t>מאושר</t>
        </is>
      </c>
      <c r="H5" s="46" t="inlineStr">
        <is>
          <t>ממצא קבוע בתיק המטופל.</t>
        </is>
      </c>
    </row>
    <row r="6">
      <c r="A6" s="42" t="inlineStr">
        <is>
          <t>CASE-004-PE-002</t>
        </is>
      </c>
      <c r="B6" s="59" t="inlineStr">
        <is>
          <t>PE-002</t>
        </is>
      </c>
      <c r="C6" s="59" t="inlineStr">
        <is>
          <t>מצב הכרה והתמצאות</t>
        </is>
      </c>
      <c r="D6" s="161" t="inlineStr">
        <is>
          <t>ערני, מתמצא בזמן, במקום ובאדם, עונה לעניין.</t>
        </is>
      </c>
      <c r="E6" s="161" t="inlineStr">
        <is>
          <t>חיוני במקרה</t>
        </is>
      </c>
      <c r="F6" s="161" t="inlineStr">
        <is>
          <t>הממצא בתחום מצב הכרה והתמצאות מסייע להעריך גודש, חמצון או חומרת אי־ספיקת הלב.</t>
        </is>
      </c>
      <c r="G6" s="62" t="inlineStr">
        <is>
          <t>מאושר</t>
        </is>
      </c>
      <c r="H6" s="47" t="inlineStr">
        <is>
          <t>ממצא קבוע בתיק המטופל.</t>
        </is>
      </c>
    </row>
    <row r="7">
      <c r="A7" s="42" t="inlineStr">
        <is>
          <t>CASE-004-PE-003</t>
        </is>
      </c>
      <c r="B7" s="59" t="inlineStr">
        <is>
          <t>PE-003</t>
        </is>
      </c>
      <c r="C7" s="59" t="inlineStr">
        <is>
          <t>תנוחת המטופל ויכולת לדבר</t>
        </is>
      </c>
      <c r="D7" s="161" t="inlineStr">
        <is>
          <t>מעדיף ישיבה זקופה, מדבר במשפטים קצרים בשל קוצר נשימה.</t>
        </is>
      </c>
      <c r="E7" s="161" t="inlineStr">
        <is>
          <t>חיוני במקרה</t>
        </is>
      </c>
      <c r="F7" s="161" t="inlineStr">
        <is>
          <t>הממצא בתחום תנוחת המטופל ויכולת לדבר מסייע להעריך גודש, חמצון או חומרת אי־ספיקת הלב.</t>
        </is>
      </c>
      <c r="G7" s="62" t="inlineStr">
        <is>
          <t>מאושר</t>
        </is>
      </c>
      <c r="H7" s="47" t="inlineStr">
        <is>
          <t>ממצא קבוע בתיק המטופל.</t>
        </is>
      </c>
    </row>
    <row r="8">
      <c r="A8" s="42" t="inlineStr">
        <is>
          <t>CASE-004-PE-004</t>
        </is>
      </c>
      <c r="B8" s="59" t="inlineStr">
        <is>
          <t>PE-004</t>
        </is>
      </c>
      <c r="C8" s="59" t="inlineStr">
        <is>
          <t>מבנה גוף ומצב תזונתי</t>
        </is>
      </c>
      <c r="D8" s="161" t="inlineStr">
        <is>
          <t>השמנה; BMI 31.4.</t>
        </is>
      </c>
      <c r="E8" s="161" t="inlineStr">
        <is>
          <t>חשוב</t>
        </is>
      </c>
      <c r="F8" s="161" t="inlineStr">
        <is>
          <t>הממצא בתחום מבנה גוף ומצב תזונתי מוסיף מידע לבדיקת מצב המטופל ולאבחנה מבדלת.</t>
        </is>
      </c>
      <c r="G8" s="62" t="inlineStr">
        <is>
          <t>מאושר</t>
        </is>
      </c>
      <c r="H8" s="47" t="inlineStr">
        <is>
          <t>ממצא קבוע בתיק המטופל.</t>
        </is>
      </c>
    </row>
    <row r="9">
      <c r="A9" s="42" t="inlineStr">
        <is>
          <t>CASE-004-PE-005</t>
        </is>
      </c>
      <c r="B9" s="59" t="inlineStr">
        <is>
          <t>PE-005</t>
        </is>
      </c>
      <c r="C9" s="59" t="inlineStr">
        <is>
          <t>קצב הדופק</t>
        </is>
      </c>
      <c r="D9" s="161" t="inlineStr">
        <is>
          <t>דופק 108 פעימות בדקה.</t>
        </is>
      </c>
      <c r="E9" s="161" t="inlineStr">
        <is>
          <t>חיוני במקרה</t>
        </is>
      </c>
      <c r="F9" s="161" t="inlineStr">
        <is>
          <t>הממצא בתחום קצב הדופק מסייע להעריך גודש, חמצון או חומרת אי־ספיקת הלב.</t>
        </is>
      </c>
      <c r="G9" s="62" t="inlineStr">
        <is>
          <t>מאושר</t>
        </is>
      </c>
      <c r="H9" s="47" t="inlineStr">
        <is>
          <t>ממצא קבוע בתיק המטופל.</t>
        </is>
      </c>
    </row>
    <row r="10">
      <c r="A10" s="42" t="inlineStr">
        <is>
          <t>CASE-004-PE-006</t>
        </is>
      </c>
      <c r="B10" s="59" t="inlineStr">
        <is>
          <t>PE-006</t>
        </is>
      </c>
      <c r="C10" s="59" t="inlineStr">
        <is>
          <t>סדירות הדופק</t>
        </is>
      </c>
      <c r="D10" s="162" t="inlineStr">
        <is>
          <t>דופק סדיר.</t>
        </is>
      </c>
      <c r="E10" s="162" t="inlineStr">
        <is>
          <t>חשוב</t>
        </is>
      </c>
      <c r="F10" s="162" t="inlineStr">
        <is>
          <t>הממצא בתחום סדירות הדופק מוסיף מידע לבדיקת מצב המטופל ולאבחנה מבדלת.</t>
        </is>
      </c>
      <c r="G10" s="62" t="inlineStr">
        <is>
          <t>מאושר</t>
        </is>
      </c>
      <c r="H10" s="47" t="inlineStr">
        <is>
          <t>ממצא קבוע בתיק המטופל.</t>
        </is>
      </c>
    </row>
    <row r="11">
      <c r="A11" s="42" t="inlineStr">
        <is>
          <t>CASE-004-PE-007</t>
        </is>
      </c>
      <c r="B11" s="59" t="inlineStr">
        <is>
          <t>PE-007</t>
        </is>
      </c>
      <c r="C11" s="59" t="inlineStr">
        <is>
          <t>עוצמת הדופק</t>
        </is>
      </c>
      <c r="D11" s="162" t="inlineStr">
        <is>
          <t>דופק פריפרי מורגש, מעט חלש אך אינו חוטי.</t>
        </is>
      </c>
      <c r="E11" s="162" t="inlineStr">
        <is>
          <t>חשוב</t>
        </is>
      </c>
      <c r="F11" s="162" t="inlineStr">
        <is>
          <t>הממצא בתחום עוצמת הדופק מוסיף מידע לבדיקת מצב המטופל ולאבחנה מבדלת.</t>
        </is>
      </c>
      <c r="G11" s="62" t="inlineStr">
        <is>
          <t>מאושר</t>
        </is>
      </c>
      <c r="H11" s="47" t="inlineStr">
        <is>
          <t>ממצא קבוע בתיק המטופל.</t>
        </is>
      </c>
    </row>
    <row r="12">
      <c r="A12" s="42" t="inlineStr">
        <is>
          <t>CASE-004-PE-008</t>
        </is>
      </c>
      <c r="B12" s="59" t="inlineStr">
        <is>
          <t>PE-008</t>
        </is>
      </c>
      <c r="C12" s="59" t="inlineStr">
        <is>
          <t>השוואת דפקים בין הצדדים</t>
        </is>
      </c>
      <c r="D12" s="162" t="inlineStr">
        <is>
          <t>דפקים דומים בשני הצדדים.</t>
        </is>
      </c>
      <c r="E12" s="162" t="inlineStr">
        <is>
          <t>משלים</t>
        </is>
      </c>
      <c r="F12" s="162" t="inlineStr">
        <is>
          <t>הבדיקה של השוואת דפקים בין הצדדים משלימה את הבדיקה הגופנית ואינה ראיה מרכזית לאי־ספיקת הלב.</t>
        </is>
      </c>
      <c r="G12" s="62" t="inlineStr">
        <is>
          <t>מאושר</t>
        </is>
      </c>
      <c r="H12" s="47" t="inlineStr">
        <is>
          <t>ממצא קבוע בתיק המטופל.</t>
        </is>
      </c>
    </row>
    <row r="13">
      <c r="A13" s="42" t="inlineStr">
        <is>
          <t>CASE-004-PE-009</t>
        </is>
      </c>
      <c r="B13" s="59" t="inlineStr">
        <is>
          <t>PE-009</t>
        </is>
      </c>
      <c r="C13" s="59" t="inlineStr">
        <is>
          <t>לחץ דם</t>
        </is>
      </c>
      <c r="D13" s="161" t="inlineStr">
        <is>
          <t>148/88 ממ"כ.</t>
        </is>
      </c>
      <c r="E13" s="161" t="inlineStr">
        <is>
          <t>חיוני במקרה</t>
        </is>
      </c>
      <c r="F13" s="161" t="inlineStr">
        <is>
          <t>הממצא בתחום לחץ דם מסייע להעריך גודש, חמצון או חומרת אי־ספיקת הלב.</t>
        </is>
      </c>
      <c r="G13" s="62" t="inlineStr">
        <is>
          <t>מאושר</t>
        </is>
      </c>
      <c r="H13" s="47" t="inlineStr">
        <is>
          <t>ממצא קבוע בתיק המטופל.</t>
        </is>
      </c>
    </row>
    <row r="14">
      <c r="A14" s="42" t="inlineStr">
        <is>
          <t>CASE-004-PE-010</t>
        </is>
      </c>
      <c r="B14" s="59" t="inlineStr">
        <is>
          <t>PE-010</t>
        </is>
      </c>
      <c r="C14" s="59" t="inlineStr">
        <is>
          <t>מספר הנשימות</t>
        </is>
      </c>
      <c r="D14" s="161" t="inlineStr">
        <is>
          <t>26 נשימות בדקה.</t>
        </is>
      </c>
      <c r="E14" s="161" t="inlineStr">
        <is>
          <t>חיוני במקרה</t>
        </is>
      </c>
      <c r="F14" s="161" t="inlineStr">
        <is>
          <t>הממצא בתחום מספר הנשימות מסייע להעריך גודש, חמצון או חומרת אי־ספיקת הלב.</t>
        </is>
      </c>
      <c r="G14" s="62" t="inlineStr">
        <is>
          <t>מאושר</t>
        </is>
      </c>
      <c r="H14" s="47" t="inlineStr">
        <is>
          <t>ממצא קבוע בתיק המטופל.</t>
        </is>
      </c>
    </row>
    <row r="15">
      <c r="A15" s="42" t="inlineStr">
        <is>
          <t>CASE-004-PE-011</t>
        </is>
      </c>
      <c r="B15" s="59" t="inlineStr">
        <is>
          <t>PE-011</t>
        </is>
      </c>
      <c r="C15" s="59" t="inlineStr">
        <is>
          <t>אופי ודפוס הנשימה</t>
        </is>
      </c>
      <c r="D15" s="161" t="inlineStr">
        <is>
          <t>נשימה מהירה ושטחית יחסית, מוחמרת בשכיבה.</t>
        </is>
      </c>
      <c r="E15" s="161" t="inlineStr">
        <is>
          <t>חיוני במקרה</t>
        </is>
      </c>
      <c r="F15" s="161" t="inlineStr">
        <is>
          <t>הממצא בתחום אופי ודפוס הנשימה מסייע להעריך גודש, חמצון או חומרת אי־ספיקת הלב.</t>
        </is>
      </c>
      <c r="G15" s="62" t="inlineStr">
        <is>
          <t>מאושר</t>
        </is>
      </c>
      <c r="H15" s="47" t="inlineStr">
        <is>
          <t>ממצא קבוע בתיק המטופל.</t>
        </is>
      </c>
    </row>
    <row r="16">
      <c r="A16" s="42" t="inlineStr">
        <is>
          <t>CASE-004-PE-012</t>
        </is>
      </c>
      <c r="B16" s="59" t="inlineStr">
        <is>
          <t>PE-012</t>
        </is>
      </c>
      <c r="C16" s="59" t="inlineStr">
        <is>
          <t>טמפרטורת גוף</t>
        </is>
      </c>
      <c r="D16" s="162" t="inlineStr">
        <is>
          <t>36.7 מעלות צלזיוס.</t>
        </is>
      </c>
      <c r="E16" s="162" t="inlineStr">
        <is>
          <t>משלים</t>
        </is>
      </c>
      <c r="F16" s="162" t="inlineStr">
        <is>
          <t>הבדיקה של טמפרטורת גוף משלימה את הבדיקה הגופנית ואינה ראיה מרכזית לאי־ספיקת הלב.</t>
        </is>
      </c>
      <c r="G16" s="62" t="inlineStr">
        <is>
          <t>מאושר</t>
        </is>
      </c>
      <c r="H16" s="47" t="inlineStr">
        <is>
          <t>ממצא קבוע בתיק המטופל.</t>
        </is>
      </c>
    </row>
    <row r="17">
      <c r="A17" s="42" t="inlineStr">
        <is>
          <t>CASE-004-PE-013</t>
        </is>
      </c>
      <c r="B17" s="59" t="inlineStr">
        <is>
          <t>PE-013</t>
        </is>
      </c>
      <c r="C17" s="59" t="inlineStr">
        <is>
          <t>סטורציית חמצן</t>
        </is>
      </c>
      <c r="D17" s="161" t="inlineStr">
        <is>
          <t>סטורציה 90% באוויר חדר.</t>
        </is>
      </c>
      <c r="E17" s="161" t="inlineStr">
        <is>
          <t>חיוני במקרה</t>
        </is>
      </c>
      <c r="F17" s="161" t="inlineStr">
        <is>
          <t>הממצא בתחום סטורציית חמצן מסייע להעריך גודש, חמצון או חומרת אי־ספיקת הלב.</t>
        </is>
      </c>
      <c r="G17" s="62" t="inlineStr">
        <is>
          <t>מאושר</t>
        </is>
      </c>
      <c r="H17" s="47" t="inlineStr">
        <is>
          <t>ממצא קבוע בתיק המטופל.</t>
        </is>
      </c>
    </row>
    <row r="18">
      <c r="A18" s="42" t="inlineStr">
        <is>
          <t>CASE-004-PE-014</t>
        </is>
      </c>
      <c r="B18" s="59" t="inlineStr">
        <is>
          <t>PE-014</t>
        </is>
      </c>
      <c r="C18" s="59" t="inlineStr">
        <is>
          <t>משקל נוכחי</t>
        </is>
      </c>
      <c r="D18" s="161" t="inlineStr">
        <is>
          <t>95 ק"ג.</t>
        </is>
      </c>
      <c r="E18" s="161" t="inlineStr">
        <is>
          <t>חשוב</t>
        </is>
      </c>
      <c r="F18" s="161" t="inlineStr">
        <is>
          <t>הממצא בתחום משקל נוכחי מוסיף מידע לבדיקת מצב המטופל ולאבחנה מבדלת.</t>
        </is>
      </c>
      <c r="G18" s="62" t="inlineStr">
        <is>
          <t>מאושר</t>
        </is>
      </c>
      <c r="H18" s="47" t="inlineStr">
        <is>
          <t>ממצא קבוע בתיק המטופל.</t>
        </is>
      </c>
    </row>
    <row r="19">
      <c r="A19" s="42" t="inlineStr">
        <is>
          <t>CASE-004-PE-015</t>
        </is>
      </c>
      <c r="B19" s="59" t="inlineStr">
        <is>
          <t>PE-015</t>
        </is>
      </c>
      <c r="C19" s="59" t="inlineStr">
        <is>
          <t>חיוורון או כחלון</t>
        </is>
      </c>
      <c r="D19" s="162" t="inlineStr">
        <is>
          <t>חיוורון קל, ללא כחלון מרכזי.</t>
        </is>
      </c>
      <c r="E19" s="162" t="inlineStr">
        <is>
          <t>חשוב</t>
        </is>
      </c>
      <c r="F19" s="162" t="inlineStr">
        <is>
          <t>הממצא בתחום חיוורון או כחלון מוסיף מידע לבדיקת מצב המטופל ולאבחנה מבדלת.</t>
        </is>
      </c>
      <c r="G19" s="62" t="inlineStr">
        <is>
          <t>מאושר</t>
        </is>
      </c>
      <c r="H19" s="47" t="inlineStr">
        <is>
          <t>ממצא קבוע בתיק המטופל.</t>
        </is>
      </c>
    </row>
    <row r="20">
      <c r="A20" s="42" t="inlineStr">
        <is>
          <t>CASE-004-PE-016</t>
        </is>
      </c>
      <c r="B20" s="59" t="inlineStr">
        <is>
          <t>PE-016</t>
        </is>
      </c>
      <c r="C20" s="59" t="inlineStr">
        <is>
          <t>הזעה קרה</t>
        </is>
      </c>
      <c r="D20" s="162" t="inlineStr">
        <is>
          <t>אין הזעה קרה משמעותית.</t>
        </is>
      </c>
      <c r="E20" s="162" t="inlineStr">
        <is>
          <t>משלים</t>
        </is>
      </c>
      <c r="F20" s="162" t="inlineStr">
        <is>
          <t>הבדיקה של הזעה קרה משלימה את הבדיקה הגופנית ואינה ראיה מרכזית לאי־ספיקת הלב.</t>
        </is>
      </c>
      <c r="G20" s="62" t="inlineStr">
        <is>
          <t>מאושר</t>
        </is>
      </c>
      <c r="H20" s="47" t="inlineStr">
        <is>
          <t>ממצא קבוע בתיק המטופל.</t>
        </is>
      </c>
    </row>
    <row r="21">
      <c r="A21" s="42" t="inlineStr">
        <is>
          <t>CASE-004-PE-017</t>
        </is>
      </c>
      <c r="B21" s="59" t="inlineStr">
        <is>
          <t>PE-017</t>
        </is>
      </c>
      <c r="C21" s="59" t="inlineStr">
        <is>
          <t>חום הגפיים</t>
        </is>
      </c>
      <c r="D21" s="162" t="inlineStr">
        <is>
          <t>כפות הידיים והרגליים חמימות יחסית; אין קור קיצוני המעיד על הלם.</t>
        </is>
      </c>
      <c r="E21" s="162" t="inlineStr">
        <is>
          <t>חשוב</t>
        </is>
      </c>
      <c r="F21" s="162" t="inlineStr">
        <is>
          <t>הממצא בתחום חום הגפיים מוסיף מידע לבדיקת מצב המטופל ולאבחנה מבדלת.</t>
        </is>
      </c>
      <c r="G21" s="62" t="inlineStr">
        <is>
          <t>מאושר</t>
        </is>
      </c>
      <c r="H21" s="47" t="inlineStr">
        <is>
          <t>ממצא קבוע בתיק המטופל.</t>
        </is>
      </c>
    </row>
    <row r="22">
      <c r="A22" s="42" t="inlineStr">
        <is>
          <t>CASE-004-PE-018</t>
        </is>
      </c>
      <c r="B22" s="59" t="inlineStr">
        <is>
          <t>PE-018</t>
        </is>
      </c>
      <c r="C22" s="59" t="inlineStr">
        <is>
          <t>זמן מילוי קפילרי</t>
        </is>
      </c>
      <c r="D22" s="162" t="inlineStr">
        <is>
          <t>מילוי קפילרי 2 שניות.</t>
        </is>
      </c>
      <c r="E22" s="162" t="inlineStr">
        <is>
          <t>חשוב</t>
        </is>
      </c>
      <c r="F22" s="162" t="inlineStr">
        <is>
          <t>הממצא בתחום זמן מילוי קפילרי מוסיף מידע לבדיקת מצב המטופל ולאבחנה מבדלת.</t>
        </is>
      </c>
      <c r="G22" s="62" t="inlineStr">
        <is>
          <t>מאושר</t>
        </is>
      </c>
      <c r="H22" s="47" t="inlineStr">
        <is>
          <t>ממצא קבוע בתיק המטופל.</t>
        </is>
      </c>
    </row>
    <row r="23">
      <c r="A23" s="42" t="inlineStr">
        <is>
          <t>CASE-004-PE-019</t>
        </is>
      </c>
      <c r="B23" s="59" t="inlineStr">
        <is>
          <t>PE-019</t>
        </is>
      </c>
      <c r="C23" s="59" t="inlineStr">
        <is>
          <t>פריחה או נגעים</t>
        </is>
      </c>
      <c r="D23" s="162" t="inlineStr">
        <is>
          <t>אין פריחה משמעותית.</t>
        </is>
      </c>
      <c r="E23" s="162" t="inlineStr">
        <is>
          <t>משלים</t>
        </is>
      </c>
      <c r="F23" s="162" t="inlineStr">
        <is>
          <t>הבדיקה של פריחה או נגעים משלימה את הבדיקה הגופנית ואינה ראיה מרכזית לאי־ספיקת הלב.</t>
        </is>
      </c>
      <c r="G23" s="62" t="inlineStr">
        <is>
          <t>מאושר</t>
        </is>
      </c>
      <c r="H23" s="47" t="inlineStr">
        <is>
          <t>ממצא קבוע בתיק המטופל.</t>
        </is>
      </c>
    </row>
    <row r="24">
      <c r="A24" s="42" t="inlineStr">
        <is>
          <t>CASE-004-PE-020</t>
        </is>
      </c>
      <c r="B24" s="59" t="inlineStr">
        <is>
          <t>PE-020</t>
        </is>
      </c>
      <c r="C24" s="59" t="inlineStr">
        <is>
          <t>שטפי דם או סימני דימום</t>
        </is>
      </c>
      <c r="D24" s="162" t="inlineStr">
        <is>
          <t>אין שטפי דם פעילים או דימום נראה לעין.</t>
        </is>
      </c>
      <c r="E24" s="162" t="inlineStr">
        <is>
          <t>בדרך כלל לא מרכזי</t>
        </is>
      </c>
      <c r="F24" s="162" t="inlineStr">
        <is>
          <t>הבדיקה של שטפי דם או סימני דימום משלימה את הבדיקה הגופנית ואינה ראיה מרכזית לאי־ספיקת הלב.</t>
        </is>
      </c>
      <c r="G24" s="62" t="inlineStr">
        <is>
          <t>מאושר</t>
        </is>
      </c>
      <c r="H24" s="47" t="inlineStr">
        <is>
          <t>ממצא קבוע בתיק המטופל.</t>
        </is>
      </c>
    </row>
    <row r="25">
      <c r="A25" s="42" t="inlineStr">
        <is>
          <t>CASE-004-PE-021</t>
        </is>
      </c>
      <c r="B25" s="59" t="inlineStr">
        <is>
          <t>PE-021</t>
        </is>
      </c>
      <c r="C25" s="59" t="inlineStr">
        <is>
          <t>צבע הלחמיות</t>
        </is>
      </c>
      <c r="D25" s="162" t="inlineStr">
        <is>
          <t>לחמיות מעט חיוורות ללא עדות לאנמיה משמעותית.</t>
        </is>
      </c>
      <c r="E25" s="162" t="inlineStr">
        <is>
          <t>משלים</t>
        </is>
      </c>
      <c r="F25" s="162" t="inlineStr">
        <is>
          <t>הבדיקה של צבע הלחמיות משלימה את הבדיקה הגופנית ואינה ראיה מרכזית לאי־ספיקת הלב.</t>
        </is>
      </c>
      <c r="G25" s="62" t="inlineStr">
        <is>
          <t>מאושר</t>
        </is>
      </c>
      <c r="H25" s="47" t="inlineStr">
        <is>
          <t>ממצא קבוע בתיק המטופל.</t>
        </is>
      </c>
    </row>
    <row r="26">
      <c r="A26" s="42" t="inlineStr">
        <is>
          <t>CASE-004-PE-022</t>
        </is>
      </c>
      <c r="B26" s="59" t="inlineStr">
        <is>
          <t>PE-022</t>
        </is>
      </c>
      <c r="C26" s="59" t="inlineStr">
        <is>
          <t>לחות ריריות הפה</t>
        </is>
      </c>
      <c r="D26" s="162" t="inlineStr">
        <is>
          <t>ריריות פה לחות.</t>
        </is>
      </c>
      <c r="E26" s="162" t="inlineStr">
        <is>
          <t>משלים</t>
        </is>
      </c>
      <c r="F26" s="162" t="inlineStr">
        <is>
          <t>הבדיקה של לחות ריריות הפה משלימה את הבדיקה הגופנית ואינה ראיה מרכזית לאי־ספיקת הלב.</t>
        </is>
      </c>
      <c r="G26" s="62" t="inlineStr">
        <is>
          <t>מאושר</t>
        </is>
      </c>
      <c r="H26" s="47" t="inlineStr">
        <is>
          <t>ממצא קבוע בתיק המטופל.</t>
        </is>
      </c>
    </row>
    <row r="27">
      <c r="A27" s="42" t="inlineStr">
        <is>
          <t>CASE-004-PE-023</t>
        </is>
      </c>
      <c r="B27" s="59" t="inlineStr">
        <is>
          <t>PE-023</t>
        </is>
      </c>
      <c r="C27" s="59" t="inlineStr">
        <is>
          <t>גודש ורידי צוואר</t>
        </is>
      </c>
      <c r="D27" s="161" t="inlineStr">
        <is>
          <t>גודש ורידי צוואר ניכר בישיבה בזווית 45 מעלות.</t>
        </is>
      </c>
      <c r="E27" s="161" t="inlineStr">
        <is>
          <t>חיוני במקרה</t>
        </is>
      </c>
      <c r="F27" s="161" t="inlineStr">
        <is>
          <t>הממצא בתחום גודש ורידי צוואר מסייע להעריך גודש, חמצון או חומרת אי־ספיקת הלב.</t>
        </is>
      </c>
      <c r="G27" s="62" t="inlineStr">
        <is>
          <t>מאושר</t>
        </is>
      </c>
      <c r="H27" s="47" t="inlineStr">
        <is>
          <t>ממצא קבוע בתיק המטופל.</t>
        </is>
      </c>
    </row>
    <row r="28">
      <c r="A28" s="42" t="inlineStr">
        <is>
          <t>CASE-004-PE-024</t>
        </is>
      </c>
      <c r="B28" s="59" t="inlineStr">
        <is>
          <t>PE-024</t>
        </is>
      </c>
      <c r="C28" s="59" t="inlineStr">
        <is>
          <t>גודל ומבנה בלוטת התריס</t>
        </is>
      </c>
      <c r="D28" s="162" t="inlineStr">
        <is>
          <t>בלוטת תריס בגודל תקין ללא גוש נמוש.</t>
        </is>
      </c>
      <c r="E28" s="162" t="inlineStr">
        <is>
          <t>משלים</t>
        </is>
      </c>
      <c r="F28" s="162" t="inlineStr">
        <is>
          <t>הבדיקה של גודל ומבנה בלוטת התריס משלימה את הבדיקה הגופנית ואינה ראיה מרכזית לאי־ספיקת הלב.</t>
        </is>
      </c>
      <c r="G28" s="62" t="inlineStr">
        <is>
          <t>מאושר</t>
        </is>
      </c>
      <c r="H28" s="47" t="inlineStr">
        <is>
          <t>ממצא קבוע בתיק המטופל.</t>
        </is>
      </c>
    </row>
    <row r="29">
      <c r="A29" s="42" t="inlineStr">
        <is>
          <t>CASE-004-PE-025</t>
        </is>
      </c>
      <c r="B29" s="59" t="inlineStr">
        <is>
          <t>PE-025</t>
        </is>
      </c>
      <c r="C29" s="59" t="inlineStr">
        <is>
          <t>מיקום קנה הנשימה</t>
        </is>
      </c>
      <c r="D29" s="162" t="inlineStr">
        <is>
          <t>קנה הנשימה במרכז.</t>
        </is>
      </c>
      <c r="E29" s="162" t="inlineStr">
        <is>
          <t>בדרך כלל לא מרכזי</t>
        </is>
      </c>
      <c r="F29" s="162" t="inlineStr">
        <is>
          <t>הבדיקה של מיקום קנה הנשימה משלימה את הבדיקה הגופנית ואינה ראיה מרכזית לאי־ספיקת הלב.</t>
        </is>
      </c>
      <c r="G29" s="62" t="inlineStr">
        <is>
          <t>מאושר</t>
        </is>
      </c>
      <c r="H29" s="47" t="inlineStr">
        <is>
          <t>ממצא קבוע בתיק המטופל.</t>
        </is>
      </c>
    </row>
    <row r="30">
      <c r="A30" s="42" t="inlineStr">
        <is>
          <t>CASE-004-PE-026</t>
        </is>
      </c>
      <c r="B30" s="59" t="inlineStr">
        <is>
          <t>PE-026</t>
        </is>
      </c>
      <c r="C30" s="59" t="inlineStr">
        <is>
          <t>כניסת אוויר דו-צדדית</t>
        </is>
      </c>
      <c r="D30" s="162" t="inlineStr">
        <is>
          <t>כניסת אוויר לשתי הריאות, מופחתת מעט בבסיסים.</t>
        </is>
      </c>
      <c r="E30" s="162" t="inlineStr">
        <is>
          <t>חיוני במקרה</t>
        </is>
      </c>
      <c r="F30" s="162" t="inlineStr">
        <is>
          <t>הממצא בתחום כניסת אוויר דו-צדדית מסייע להעריך גודש, חמצון או חומרת אי־ספיקת הלב.</t>
        </is>
      </c>
      <c r="G30" s="62" t="inlineStr">
        <is>
          <t>מאושר</t>
        </is>
      </c>
      <c r="H30" s="47" t="inlineStr">
        <is>
          <t>ממצא קבוע בתיק המטופל.</t>
        </is>
      </c>
    </row>
    <row r="31">
      <c r="A31" s="42" t="inlineStr">
        <is>
          <t>CASE-004-PE-027</t>
        </is>
      </c>
      <c r="B31" s="59" t="inlineStr">
        <is>
          <t>PE-027</t>
        </is>
      </c>
      <c r="C31" s="59" t="inlineStr">
        <is>
          <t>חרחורים</t>
        </is>
      </c>
      <c r="D31" s="161" t="inlineStr">
        <is>
          <t>חרחורים לחים בשני בסיסי הריאות.</t>
        </is>
      </c>
      <c r="E31" s="161" t="inlineStr">
        <is>
          <t>חיוני במקרה</t>
        </is>
      </c>
      <c r="F31" s="161" t="inlineStr">
        <is>
          <t>הממצא בתחום חרחורים מסייע להעריך גודש, חמצון או חומרת אי־ספיקת הלב.</t>
        </is>
      </c>
      <c r="G31" s="62" t="inlineStr">
        <is>
          <t>מאושר</t>
        </is>
      </c>
      <c r="H31" s="47" t="inlineStr">
        <is>
          <t>ממצא קבוע בתיק המטופל.</t>
        </is>
      </c>
    </row>
    <row r="32">
      <c r="A32" s="42" t="inlineStr">
        <is>
          <t>CASE-004-PE-028</t>
        </is>
      </c>
      <c r="B32" s="59" t="inlineStr">
        <is>
          <t>PE-028</t>
        </is>
      </c>
      <c r="C32" s="59" t="inlineStr">
        <is>
          <t>צפצופים</t>
        </is>
      </c>
      <c r="D32" s="162" t="inlineStr">
        <is>
          <t>ללא צפצופים משמעותיים.</t>
        </is>
      </c>
      <c r="E32" s="162" t="inlineStr">
        <is>
          <t>חשוב</t>
        </is>
      </c>
      <c r="F32" s="162" t="inlineStr">
        <is>
          <t>הממצא בתחום צפצופים מוסיף מידע לבדיקת מצב המטופל ולאבחנה מבדלת.</t>
        </is>
      </c>
      <c r="G32" s="62" t="inlineStr">
        <is>
          <t>מאושר</t>
        </is>
      </c>
      <c r="H32" s="47" t="inlineStr">
        <is>
          <t>ממצא קבוע בתיק המטופל.</t>
        </is>
      </c>
    </row>
    <row r="33">
      <c r="A33" s="42" t="inlineStr">
        <is>
          <t>CASE-004-PE-029</t>
        </is>
      </c>
      <c r="B33" s="59" t="inlineStr">
        <is>
          <t>PE-029</t>
        </is>
      </c>
      <c r="C33" s="59" t="inlineStr">
        <is>
          <t>שימוש בשרירי עזר ורטרקציות</t>
        </is>
      </c>
      <c r="D33" s="162" t="inlineStr">
        <is>
          <t>שימוש קל בשרירי עזר במאמץ נשימתי.</t>
        </is>
      </c>
      <c r="E33" s="162" t="inlineStr">
        <is>
          <t>חשוב</t>
        </is>
      </c>
      <c r="F33" s="162" t="inlineStr">
        <is>
          <t>הממצא בתחום שימוש בשרירי עזר ורטרקציות מוסיף מידע לבדיקת מצב המטופל ולאבחנה מבדלת.</t>
        </is>
      </c>
      <c r="G33" s="62" t="inlineStr">
        <is>
          <t>מאושר</t>
        </is>
      </c>
      <c r="H33" s="47" t="inlineStr">
        <is>
          <t>ממצא קבוע בתיק המטופל.</t>
        </is>
      </c>
    </row>
    <row r="34">
      <c r="A34" s="42" t="inlineStr">
        <is>
          <t>CASE-004-PE-030</t>
        </is>
      </c>
      <c r="B34" s="59" t="inlineStr">
        <is>
          <t>PE-030</t>
        </is>
      </c>
      <c r="C34" s="59" t="inlineStr">
        <is>
          <t>קולות לב בסיסיים</t>
        </is>
      </c>
      <c r="D34" s="161" t="inlineStr">
        <is>
          <t>קולות S1 ו-S2 נשמעים; קצב מהיר וסדיר.</t>
        </is>
      </c>
      <c r="E34" s="161" t="inlineStr">
        <is>
          <t>חיוני במקרה</t>
        </is>
      </c>
      <c r="F34" s="161" t="inlineStr">
        <is>
          <t>הממצא בתחום קולות לב בסיסיים מסייע להעריך גודש, חמצון או חומרת אי־ספיקת הלב.</t>
        </is>
      </c>
      <c r="G34" s="62" t="inlineStr">
        <is>
          <t>מאושר</t>
        </is>
      </c>
      <c r="H34" s="47" t="inlineStr">
        <is>
          <t>ממצא קבוע בתיק המטופל.</t>
        </is>
      </c>
    </row>
    <row r="35">
      <c r="A35" s="42" t="inlineStr">
        <is>
          <t>CASE-004-PE-031</t>
        </is>
      </c>
      <c r="B35" s="59" t="inlineStr">
        <is>
          <t>PE-031</t>
        </is>
      </c>
      <c r="C35" s="59" t="inlineStr">
        <is>
          <t>קולות לב נוספים</t>
        </is>
      </c>
      <c r="D35" s="162" t="inlineStr">
        <is>
          <t>לא מוצגים קולות לב נוספים; אינם חלק מהידע הנדרש.</t>
        </is>
      </c>
      <c r="E35" s="162" t="inlineStr">
        <is>
          <t>חשוב</t>
        </is>
      </c>
      <c r="F35" s="162" t="inlineStr">
        <is>
          <t>הממצא בתחום קולות לב נוספים מוסיף מידע לבדיקת מצב המטופל ולאבחנה מבדלת.</t>
        </is>
      </c>
      <c r="G35" s="62" t="inlineStr">
        <is>
          <t>מאושר</t>
        </is>
      </c>
      <c r="H35" s="47" t="inlineStr">
        <is>
          <t>ממצא קבוע בתיק המטופל.</t>
        </is>
      </c>
    </row>
    <row r="36">
      <c r="A36" s="42" t="inlineStr">
        <is>
          <t>CASE-004-PE-032</t>
        </is>
      </c>
      <c r="B36" s="59" t="inlineStr">
        <is>
          <t>PE-032</t>
        </is>
      </c>
      <c r="C36" s="59" t="inlineStr">
        <is>
          <t>אוושה</t>
        </is>
      </c>
      <c r="D36" s="162" t="inlineStr">
        <is>
          <t>ללא אוושה משמעותית.</t>
        </is>
      </c>
      <c r="E36" s="162" t="inlineStr">
        <is>
          <t>חשוב</t>
        </is>
      </c>
      <c r="F36" s="162" t="inlineStr">
        <is>
          <t>הממצא בתחום אוושה מוסיף מידע לבדיקת מצב המטופל ולאבחנה מבדלת.</t>
        </is>
      </c>
      <c r="G36" s="62" t="inlineStr">
        <is>
          <t>מאושר</t>
        </is>
      </c>
      <c r="H36" s="47" t="inlineStr">
        <is>
          <t>ממצא קבוע בתיק המטופל.</t>
        </is>
      </c>
    </row>
    <row r="37">
      <c r="A37" s="42" t="inlineStr">
        <is>
          <t>CASE-004-PE-033</t>
        </is>
      </c>
      <c r="B37" s="59" t="inlineStr">
        <is>
          <t>PE-033</t>
        </is>
      </c>
      <c r="C37" s="59" t="inlineStr">
        <is>
          <t>מיקום נקודת חוד הלב</t>
        </is>
      </c>
      <c r="D37" s="162" t="inlineStr">
        <is>
          <t>חוד הלב מעט מוסט שמאלה, תואם הגדלת לב.</t>
        </is>
      </c>
      <c r="E37" s="162" t="inlineStr">
        <is>
          <t>חשוב</t>
        </is>
      </c>
      <c r="F37" s="162" t="inlineStr">
        <is>
          <t>הממצא בתחום מיקום נקודת חוד הלב מוסיף מידע לבדיקת מצב המטופל ולאבחנה מבדלת.</t>
        </is>
      </c>
      <c r="G37" s="62" t="inlineStr">
        <is>
          <t>מאושר</t>
        </is>
      </c>
      <c r="H37" s="47" t="inlineStr">
        <is>
          <t>ממצא קבוע בתיק המטופל.</t>
        </is>
      </c>
    </row>
    <row r="38">
      <c r="A38" s="42" t="inlineStr">
        <is>
          <t>CASE-004-PE-034</t>
        </is>
      </c>
      <c r="B38" s="59" t="inlineStr">
        <is>
          <t>PE-034</t>
        </is>
      </c>
      <c r="C38" s="59" t="inlineStr">
        <is>
          <t>רגישות דופן בית החזה</t>
        </is>
      </c>
      <c r="D38" s="162" t="inlineStr">
        <is>
          <t>אין רגישות מיוחדת בלחיצה על דופן החזה.</t>
        </is>
      </c>
      <c r="E38" s="162" t="inlineStr">
        <is>
          <t>משלים</t>
        </is>
      </c>
      <c r="F38" s="162" t="inlineStr">
        <is>
          <t>הבדיקה של רגישות דופן בית החזה משלימה את הבדיקה הגופנית ואינה ראיה מרכזית לאי־ספיקת הלב.</t>
        </is>
      </c>
      <c r="G38" s="62" t="inlineStr">
        <is>
          <t>מאושר</t>
        </is>
      </c>
      <c r="H38" s="47" t="inlineStr">
        <is>
          <t>ממצא קבוע בתיק המטופל.</t>
        </is>
      </c>
    </row>
    <row r="39">
      <c r="A39" s="42" t="inlineStr">
        <is>
          <t>CASE-004-PE-035</t>
        </is>
      </c>
      <c r="B39" s="59" t="inlineStr">
        <is>
          <t>PE-035</t>
        </is>
      </c>
      <c r="C39" s="59" t="inlineStr">
        <is>
          <t>קולות פריסטלטיקה</t>
        </is>
      </c>
      <c r="D39" s="162" t="inlineStr">
        <is>
          <t>קולות מעיים תקינים.</t>
        </is>
      </c>
      <c r="E39" s="162" t="inlineStr">
        <is>
          <t>בדרך כלל לא מרכזי</t>
        </is>
      </c>
      <c r="F39" s="162" t="inlineStr">
        <is>
          <t>הבדיקה של קולות פריסטלטיקה משלימה את הבדיקה הגופנית ואינה ראיה מרכזית לאי־ספיקת הלב.</t>
        </is>
      </c>
      <c r="G39" s="62" t="inlineStr">
        <is>
          <t>מאושר</t>
        </is>
      </c>
      <c r="H39" s="47" t="inlineStr">
        <is>
          <t>ממצא קבוע בתיק המטופל.</t>
        </is>
      </c>
    </row>
    <row r="40">
      <c r="A40" s="42" t="inlineStr">
        <is>
          <t>CASE-004-PE-036</t>
        </is>
      </c>
      <c r="B40" s="59" t="inlineStr">
        <is>
          <t>PE-036</t>
        </is>
      </c>
      <c r="C40" s="59" t="inlineStr">
        <is>
          <t>נפיחות בטנית או מיימת</t>
        </is>
      </c>
      <c r="D40" s="161" t="inlineStr">
        <is>
          <t>בטן תפוחה מעט; ללא מיימת ניכרת בבדיקה.</t>
        </is>
      </c>
      <c r="E40" s="161" t="inlineStr">
        <is>
          <t>חיוני במקרה</t>
        </is>
      </c>
      <c r="F40" s="161" t="inlineStr">
        <is>
          <t>הממצא בתחום נפיחות בטנית או מיימת מסייע להעריך גודש, חמצון או חומרת אי־ספיקת הלב.</t>
        </is>
      </c>
      <c r="G40" s="62" t="inlineStr">
        <is>
          <t>מאושר</t>
        </is>
      </c>
      <c r="H40" s="47" t="inlineStr">
        <is>
          <t>ממצא קבוע בתיק המטופל.</t>
        </is>
      </c>
    </row>
    <row r="41">
      <c r="A41" s="42" t="inlineStr">
        <is>
          <t>CASE-004-PE-037</t>
        </is>
      </c>
      <c r="B41" s="59" t="inlineStr">
        <is>
          <t>PE-037</t>
        </is>
      </c>
      <c r="C41" s="59" t="inlineStr">
        <is>
          <t>גודל הכבד ורגישותו</t>
        </is>
      </c>
      <c r="D41" s="161" t="inlineStr">
        <is>
          <t>כבד מוגדל קלות, רגישות קלה בשוליו.</t>
        </is>
      </c>
      <c r="E41" s="161" t="inlineStr">
        <is>
          <t>חיוני במקרה</t>
        </is>
      </c>
      <c r="F41" s="161" t="inlineStr">
        <is>
          <t>הממצא בתחום גודל הכבד ורגישותו מסייע להעריך גודש, חמצון או חומרת אי־ספיקת הלב.</t>
        </is>
      </c>
      <c r="G41" s="62" t="inlineStr">
        <is>
          <t>מאושר</t>
        </is>
      </c>
      <c r="H41" s="47" t="inlineStr">
        <is>
          <t>ממצא קבוע בתיק המטופל.</t>
        </is>
      </c>
    </row>
    <row r="42">
      <c r="A42" s="42" t="inlineStr">
        <is>
          <t>CASE-004-PE-038</t>
        </is>
      </c>
      <c r="B42" s="59" t="inlineStr">
        <is>
          <t>PE-038</t>
        </is>
      </c>
      <c r="C42" s="59" t="inlineStr">
        <is>
          <t>רגישות בטנית</t>
        </is>
      </c>
      <c r="D42" s="162" t="inlineStr">
        <is>
          <t>אין רגישות ממוקדת משמעותית בבטן.</t>
        </is>
      </c>
      <c r="E42" s="162" t="inlineStr">
        <is>
          <t>משלים</t>
        </is>
      </c>
      <c r="F42" s="162" t="inlineStr">
        <is>
          <t>הבדיקה של רגישות בטנית משלימה את הבדיקה הגופנית ואינה ראיה מרכזית לאי־ספיקת הלב.</t>
        </is>
      </c>
      <c r="G42" s="62" t="inlineStr">
        <is>
          <t>מאושר</t>
        </is>
      </c>
      <c r="H42" s="47" t="inlineStr">
        <is>
          <t>ממצא קבוע בתיק המטופל.</t>
        </is>
      </c>
    </row>
    <row r="43">
      <c r="A43" s="42" t="inlineStr">
        <is>
          <t>CASE-004-PE-039</t>
        </is>
      </c>
      <c r="B43" s="59" t="inlineStr">
        <is>
          <t>PE-039</t>
        </is>
      </c>
      <c r="C43" s="59" t="inlineStr">
        <is>
          <t>נוכחות בצקות</t>
        </is>
      </c>
      <c r="D43" s="161" t="inlineStr">
        <is>
          <t>בצקות דו־צדדיות בשוקיים ובקרסוליים.</t>
        </is>
      </c>
      <c r="E43" s="161" t="inlineStr">
        <is>
          <t>חיוני במקרה</t>
        </is>
      </c>
      <c r="F43" s="161" t="inlineStr">
        <is>
          <t>הממצא בתחום נוכחות בצקות מסייע להעריך גודש, חמצון או חומרת אי־ספיקת הלב.</t>
        </is>
      </c>
      <c r="G43" s="62" t="inlineStr">
        <is>
          <t>מאושר</t>
        </is>
      </c>
      <c r="H43" s="47" t="inlineStr">
        <is>
          <t>ממצא קבוע בתיק המטופל.</t>
        </is>
      </c>
    </row>
    <row r="44">
      <c r="A44" s="42" t="inlineStr">
        <is>
          <t>CASE-004-PE-040</t>
        </is>
      </c>
      <c r="B44" s="59" t="inlineStr">
        <is>
          <t>PE-040</t>
        </is>
      </c>
      <c r="C44" s="59" t="inlineStr">
        <is>
          <t>אופי והיקף הבצקת</t>
        </is>
      </c>
      <c r="D44" s="161" t="inlineStr">
        <is>
          <t>בצקת גומתית ++ בשתי הרגליים, סימטרית.</t>
        </is>
      </c>
      <c r="E44" s="161" t="inlineStr">
        <is>
          <t>חיוני במקרה</t>
        </is>
      </c>
      <c r="F44" s="161" t="inlineStr">
        <is>
          <t>הממצא בתחום אופי והיקף הבצקת מסייע להעריך גודש, חמצון או חומרת אי־ספיקת הלב.</t>
        </is>
      </c>
      <c r="G44" s="62" t="inlineStr">
        <is>
          <t>מאושר</t>
        </is>
      </c>
      <c r="H44" s="47" t="inlineStr">
        <is>
          <t>ממצא קבוע בתיק המטופל.</t>
        </is>
      </c>
    </row>
    <row r="45">
      <c r="A45" s="42" t="inlineStr">
        <is>
          <t>CASE-004-PE-041</t>
        </is>
      </c>
      <c r="B45" s="59" t="inlineStr">
        <is>
          <t>PE-041</t>
        </is>
      </c>
      <c r="C45" s="59" t="inlineStr">
        <is>
          <t>דליות</t>
        </is>
      </c>
      <c r="D45" s="161" t="inlineStr">
        <is>
          <t>דליות שטחיות קלות בשתי השוקיים, כממצא נלווה שאינו מסביר את כלל הגודש.</t>
        </is>
      </c>
      <c r="E45" s="161" t="inlineStr">
        <is>
          <t>חשוב</t>
        </is>
      </c>
      <c r="F45" s="161" t="inlineStr">
        <is>
          <t>הממצא בתחום דליות מוסיף מידע לבדיקת מצב המטופל ולאבחנה מבדלת.</t>
        </is>
      </c>
      <c r="G45" s="62" t="inlineStr">
        <is>
          <t>מאושר</t>
        </is>
      </c>
      <c r="H45" s="47" t="inlineStr">
        <is>
          <t>ממצא קבוע בתיק המטופל.</t>
        </is>
      </c>
    </row>
    <row r="46">
      <c r="A46" s="42" t="inlineStr">
        <is>
          <t>CASE-004-PE-042</t>
        </is>
      </c>
      <c r="B46" s="59" t="inlineStr">
        <is>
          <t>PE-042</t>
        </is>
      </c>
      <c r="C46" s="59" t="inlineStr">
        <is>
          <t>דפקים פריפריים</t>
        </is>
      </c>
      <c r="D46" s="162" t="inlineStr">
        <is>
          <t>דפקים בכפות הרגליים נמושים דו־צדדית.</t>
        </is>
      </c>
      <c r="E46" s="162" t="inlineStr">
        <is>
          <t>משלים</t>
        </is>
      </c>
      <c r="F46" s="162" t="inlineStr">
        <is>
          <t>הבדיקה של דפקים פריפריים משלימה את הבדיקה הגופנית ואינה ראיה מרכזית לאי־ספיקת הלב.</t>
        </is>
      </c>
      <c r="G46" s="62" t="inlineStr">
        <is>
          <t>מאושר</t>
        </is>
      </c>
      <c r="H46" s="47" t="inlineStr">
        <is>
          <t>ממצא קבוע בתיק המטופל.</t>
        </is>
      </c>
    </row>
    <row r="47">
      <c r="A47" s="42" t="inlineStr">
        <is>
          <t>CASE-004-PE-043</t>
        </is>
      </c>
      <c r="B47" s="59" t="inlineStr">
        <is>
          <t>PE-043</t>
        </is>
      </c>
      <c r="C47" s="59" t="inlineStr">
        <is>
          <t>אסימטריה, נפיחות או רגישות בשוק</t>
        </is>
      </c>
      <c r="D47" s="162" t="inlineStr">
        <is>
          <t>שתי השוקיים נפוחות במידה דומה, ללא רגישות ממוקדת או אודם חד־צדדי.</t>
        </is>
      </c>
      <c r="E47" s="162" t="inlineStr">
        <is>
          <t>חשוב</t>
        </is>
      </c>
      <c r="F47" s="162" t="inlineStr">
        <is>
          <t>הממצא בתחום אסימטריה, נפיחות או רגישות בשוק מוסיף מידע לבדיקת מצב המטופל ולאבחנה מבדלת.</t>
        </is>
      </c>
      <c r="G47" s="62" t="inlineStr">
        <is>
          <t>מאושר</t>
        </is>
      </c>
      <c r="H47" s="47" t="inlineStr">
        <is>
          <t>ממצא קבוע בתיק המטופל.</t>
        </is>
      </c>
    </row>
    <row r="48">
      <c r="A48" s="42" t="inlineStr">
        <is>
          <t>CASE-004-PE-044</t>
        </is>
      </c>
      <c r="B48" s="59" t="inlineStr">
        <is>
          <t>PE-044</t>
        </is>
      </c>
      <c r="C48" s="59" t="inlineStr">
        <is>
          <t>גודל ותגובת אישונים</t>
        </is>
      </c>
      <c r="D48" s="162" t="inlineStr">
        <is>
          <t>אישונים שווים ומגיבים לאור.</t>
        </is>
      </c>
      <c r="E48" s="162" t="inlineStr">
        <is>
          <t>משלים</t>
        </is>
      </c>
      <c r="F48" s="162" t="inlineStr">
        <is>
          <t>הבדיקה של גודל ותגובת אישונים משלימה את הבדיקה הגופנית ואינה ראיה מרכזית לאי־ספיקת הלב.</t>
        </is>
      </c>
      <c r="G48" s="62" t="inlineStr">
        <is>
          <t>מאושר</t>
        </is>
      </c>
      <c r="H48" s="47" t="inlineStr">
        <is>
          <t>ממצא קבוע בתיק המטופל.</t>
        </is>
      </c>
    </row>
    <row r="49">
      <c r="A49" s="44" t="inlineStr">
        <is>
          <t>CASE-004-PE-045</t>
        </is>
      </c>
      <c r="B49" s="60" t="inlineStr">
        <is>
          <t>PE-045</t>
        </is>
      </c>
      <c r="C49" s="60" t="inlineStr">
        <is>
          <t>רפלקסים גידיים</t>
        </is>
      </c>
      <c r="D49" s="164" t="inlineStr">
        <is>
          <t>רפלקסים גידיים תקינים וסימטריים.</t>
        </is>
      </c>
      <c r="E49" s="164" t="inlineStr">
        <is>
          <t>בדרך כלל לא מרכזי</t>
        </is>
      </c>
      <c r="F49" s="164" t="inlineStr">
        <is>
          <t>הבדיקה של רפלקסים גידיים משלימה את הבדיקה הגופנית ואינה ראיה מרכזית לאי־ספיקת הלב.</t>
        </is>
      </c>
      <c r="G49" s="63" t="inlineStr">
        <is>
          <t>מאושר</t>
        </is>
      </c>
      <c r="H49" s="48" t="inlineStr">
        <is>
          <t>ממצא קבוע בתיק המטופל.</t>
        </is>
      </c>
    </row>
  </sheetData>
  <mergeCells count="2">
    <mergeCell ref="A2:H2"/>
    <mergeCell ref="A1:H1"/>
  </mergeCells>
  <conditionalFormatting sqref="E5:E49">
    <cfRule type="containsText" priority="1" operator="containsText" dxfId="0" text="חיוני במקרה"/>
    <cfRule type="containsText" priority="2" operator="containsText" dxfId="1" text="חשוב"/>
    <cfRule type="containsText" priority="3" operator="containsText" dxfId="2" text="משלים"/>
    <cfRule type="containsText" priority="4" operator="containsText" dxfId="3" text="בדרך כלל לא מרכזי"/>
  </conditionalFormatting>
  <dataValidations count="1">
    <dataValidation sqref="E5:E49" showDropDown="0" showInputMessage="0" showErrorMessage="0" allowBlank="0" type="list">
      <formula1>"חיוני במקרה,חשוב,משלים,בדרך כלל לא מרכזי"</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37"/>
  <sheetViews>
    <sheetView showGridLines="0" workbookViewId="0">
      <selection activeCell="A1" sqref="A1"/>
    </sheetView>
  </sheetViews>
  <sheetFormatPr baseColWidth="8" defaultRowHeight="15"/>
  <cols>
    <col width="16.67000007629395" customWidth="1" min="1" max="1"/>
    <col width="12.22000026702881" customWidth="1" min="2" max="2"/>
    <col width="23.32999992370605" customWidth="1" min="3" max="3"/>
    <col width="33.33000183105469" customWidth="1" min="4" max="4"/>
    <col width="12.22000026702881" customWidth="1" min="5" max="5"/>
    <col width="11.10999965667725" customWidth="1" min="6" max="6"/>
    <col width="26.67000007629395" customWidth="1" min="7" max="7"/>
    <col width="27.78000068664551" customWidth="1" min="8" max="8"/>
    <col width="13.89000034332275" customWidth="1" min="9" max="9"/>
    <col width="35.56000137329102" customWidth="1" min="10" max="10"/>
    <col width="10" customWidth="1" min="11" max="11"/>
  </cols>
  <sheetData>
    <row r="1" ht="30" customHeight="1">
      <c r="A1" s="4" t="inlineStr">
        <is>
          <t>תבנית בדיקות מיידיות</t>
        </is>
      </c>
    </row>
    <row r="2" ht="34" customHeight="1">
      <c r="A2" s="9" t="inlineStr">
        <is>
          <t>הגדרה, ממצא מילולי ופרשנות בלבד. כל ערך מספרי, יחידה וטווח ייחוס נלקחים בלעדית מתוצאות_מספריות.</t>
        </is>
      </c>
    </row>
    <row r="3"/>
    <row r="4" ht="36" customHeight="1">
      <c r="A4" s="20" t="inlineStr">
        <is>
          <t>מזהה ערך בתיק</t>
        </is>
      </c>
      <c r="B4" s="20" t="inlineStr">
        <is>
          <t>מזהה רכיב בסיס</t>
        </is>
      </c>
      <c r="C4" s="20" t="inlineStr">
        <is>
          <t>בדיקה או רכיב</t>
        </is>
      </c>
      <c r="D4" s="20" t="inlineStr">
        <is>
          <t>תוצאה להצגה</t>
        </is>
      </c>
      <c r="E4" s="20" t="inlineStr">
        <is>
          <t>ערך מספרי — לא להזנה</t>
        </is>
      </c>
      <c r="F4" s="20" t="inlineStr">
        <is>
          <t>יחידה — לא להזנה</t>
        </is>
      </c>
      <c r="G4" s="20" t="inlineStr">
        <is>
          <t>טווח ייחוס — לא להזנה</t>
        </is>
      </c>
      <c r="H4" s="20" t="inlineStr">
        <is>
          <t>פרשנות במקרה</t>
        </is>
      </c>
      <c r="I4" s="20" t="inlineStr">
        <is>
          <t>חשיבות במקרה</t>
        </is>
      </c>
      <c r="J4" s="20" t="inlineStr">
        <is>
          <t>היגיון למשוב</t>
        </is>
      </c>
      <c r="K4" s="20" t="inlineStr">
        <is>
          <t>סטטוס</t>
        </is>
      </c>
    </row>
    <row r="5">
      <c r="A5" s="40" t="inlineStr">
        <is>
          <t>CASE-004-IT-001</t>
        </is>
      </c>
      <c r="B5" s="58" t="inlineStr">
        <is>
          <t>IT-001</t>
        </is>
      </c>
      <c r="C5" s="58" t="inlineStr">
        <is>
          <t>גובה</t>
        </is>
      </c>
      <c r="D5" s="160" t="inlineStr">
        <is>
          <t>נוצר אוטומטית מתוצאות_מספריות.</t>
        </is>
      </c>
      <c r="E5" s="61" t="n"/>
      <c r="F5" s="61" t="n"/>
      <c r="G5" s="61" t="n"/>
      <c r="H5" s="160" t="inlineStr">
        <is>
          <t>גובה 174 ס"מ.</t>
        </is>
      </c>
      <c r="I5" s="160" t="inlineStr">
        <is>
          <t>משלים</t>
        </is>
      </c>
      <c r="J5" s="160" t="inlineStr">
        <is>
          <t>נתון לתיאור גוף המטופל.</t>
        </is>
      </c>
      <c r="K5" s="46" t="inlineStr">
        <is>
          <t>מאושר</t>
        </is>
      </c>
    </row>
    <row r="6">
      <c r="A6" s="42" t="inlineStr">
        <is>
          <t>CASE-004-IT-002</t>
        </is>
      </c>
      <c r="B6" s="59" t="inlineStr">
        <is>
          <t>IT-002</t>
        </is>
      </c>
      <c r="C6" s="59" t="inlineStr">
        <is>
          <t>משקל</t>
        </is>
      </c>
      <c r="D6" s="161" t="inlineStr">
        <is>
          <t>נוצר אוטומטית מתוצאות_מספריות.</t>
        </is>
      </c>
      <c r="E6" s="62" t="n"/>
      <c r="F6" s="62" t="n"/>
      <c r="G6" s="62" t="n"/>
      <c r="H6" s="161" t="inlineStr">
        <is>
          <t>משקל 95 ק"ג.</t>
        </is>
      </c>
      <c r="I6" s="161" t="inlineStr">
        <is>
          <t>חשוב</t>
        </is>
      </c>
      <c r="J6" s="161" t="inlineStr">
        <is>
          <t>השמנה ועליית משקל עשויות להיות קשורות לאורח חיים ולאצירת נוזלים.</t>
        </is>
      </c>
      <c r="K6" s="47" t="inlineStr">
        <is>
          <t>מאושר</t>
        </is>
      </c>
    </row>
    <row r="7">
      <c r="A7" s="42" t="inlineStr">
        <is>
          <t>CASE-004-IT-003</t>
        </is>
      </c>
      <c r="B7" s="59" t="inlineStr">
        <is>
          <t>IT-003</t>
        </is>
      </c>
      <c r="C7" s="59" t="inlineStr">
        <is>
          <t>BMI</t>
        </is>
      </c>
      <c r="D7" s="161" t="inlineStr">
        <is>
          <t>נוצר אוטומטית מתוצאות_מספריות.</t>
        </is>
      </c>
      <c r="E7" s="62" t="n"/>
      <c r="F7" s="62" t="n"/>
      <c r="G7" s="62" t="n"/>
      <c r="H7" s="161" t="inlineStr">
        <is>
          <t>BMI 31.4 — השמנה.</t>
        </is>
      </c>
      <c r="I7" s="161" t="inlineStr">
        <is>
          <t>חשוב</t>
        </is>
      </c>
      <c r="J7" s="161" t="inlineStr">
        <is>
          <t>גורם סיכון נלווה שאינו לבדו מאבחן אי־ספיקת לב.</t>
        </is>
      </c>
      <c r="K7" s="47" t="inlineStr">
        <is>
          <t>מאושר</t>
        </is>
      </c>
    </row>
    <row r="8">
      <c r="A8" s="42" t="inlineStr">
        <is>
          <t>CASE-004-IT-004</t>
        </is>
      </c>
      <c r="B8" s="59" t="inlineStr">
        <is>
          <t>IT-004</t>
        </is>
      </c>
      <c r="C8" s="59" t="inlineStr">
        <is>
          <t>סטורציה</t>
        </is>
      </c>
      <c r="D8" s="161" t="inlineStr">
        <is>
          <t>נוצר אוטומטית מתוצאות_מספריות.</t>
        </is>
      </c>
      <c r="E8" s="62" t="n"/>
      <c r="F8" s="62" t="n"/>
      <c r="G8" s="62" t="n"/>
      <c r="H8" s="161" t="inlineStr">
        <is>
          <t>סטורציה 90% באוויר חדר — ירידה בריווי החמצן.</t>
        </is>
      </c>
      <c r="I8" s="161" t="inlineStr">
        <is>
          <t>חיוני במקרה</t>
        </is>
      </c>
      <c r="J8" s="161" t="inlineStr">
        <is>
          <t>חשוב לזהות חמצון ירוד ולהעריך דחיפות וניטור.</t>
        </is>
      </c>
      <c r="K8" s="47" t="inlineStr">
        <is>
          <t>מאושר</t>
        </is>
      </c>
    </row>
    <row r="9">
      <c r="A9" s="42" t="inlineStr">
        <is>
          <t>CASE-004-IT-005</t>
        </is>
      </c>
      <c r="B9" s="59" t="inlineStr">
        <is>
          <t>IT-005</t>
        </is>
      </c>
      <c r="C9" s="59" t="inlineStr">
        <is>
          <t>קצב הלב באק״ג</t>
        </is>
      </c>
      <c r="D9" s="161" t="inlineStr">
        <is>
          <t>נוצר אוטומטית מתוצאות_מספריות.</t>
        </is>
      </c>
      <c r="E9" s="62" t="n"/>
      <c r="F9" s="62" t="n"/>
      <c r="G9" s="62" t="n"/>
      <c r="H9" s="161" t="inlineStr">
        <is>
          <t>קצב 108 לדקה — טכיקרדיה סינוסלית.</t>
        </is>
      </c>
      <c r="I9" s="161" t="inlineStr">
        <is>
          <t>חיוני במקרה</t>
        </is>
      </c>
      <c r="J9" s="161" t="inlineStr">
        <is>
          <t>מצב של מצוקה ואי־ספיקת לב יכול להיות מלווה בדופק מהיר.</t>
        </is>
      </c>
      <c r="K9" s="47" t="inlineStr">
        <is>
          <t>מאושר</t>
        </is>
      </c>
    </row>
    <row r="10">
      <c r="A10" s="42" t="inlineStr">
        <is>
          <t>CASE-004-IT-006</t>
        </is>
      </c>
      <c r="B10" s="59" t="inlineStr">
        <is>
          <t>IT-006</t>
        </is>
      </c>
      <c r="C10" s="59" t="inlineStr">
        <is>
          <t>סדירות ומקור המקצב</t>
        </is>
      </c>
      <c r="D10" s="161" t="inlineStr">
        <is>
          <t>קצב סינוס סדיר, כ־108 פעימות לדקה.</t>
        </is>
      </c>
      <c r="E10" s="62" t="n"/>
      <c r="F10" s="62" t="n"/>
      <c r="G10" s="62" t="n"/>
      <c r="H10" s="161" t="inlineStr">
        <is>
          <t>קצב סינוס סדיר, כ־108 פעימות לדקה.</t>
        </is>
      </c>
      <c r="I10" s="161" t="inlineStr">
        <is>
          <t>חשוב</t>
        </is>
      </c>
      <c r="J10" s="161" t="inlineStr">
        <is>
          <t>מסייע לאבחן טכיקרדיה ולזהות הפרעת קצב.</t>
        </is>
      </c>
      <c r="K10" s="47" t="inlineStr">
        <is>
          <t>מאושר</t>
        </is>
      </c>
    </row>
    <row r="11">
      <c r="A11" s="42" t="inlineStr">
        <is>
          <t>CASE-004-IT-007</t>
        </is>
      </c>
      <c r="B11" s="59" t="inlineStr">
        <is>
          <t>IT-007</t>
        </is>
      </c>
      <c r="C11" s="59" t="inlineStr">
        <is>
          <t>פרפור פרוזדורים והפרעות קצב אחרות</t>
        </is>
      </c>
      <c r="D11" s="161" t="inlineStr">
        <is>
          <t>לא נצפה פרפור עליות או הפרעת קצב משמעותית אחרת.</t>
        </is>
      </c>
      <c r="E11" s="62" t="n"/>
      <c r="F11" s="62" t="n"/>
      <c r="G11" s="62" t="n"/>
      <c r="H11" s="161" t="inlineStr">
        <is>
          <t>לא נצפה פרפור עליות או הפרעת קצב משמעותית אחרת.</t>
        </is>
      </c>
      <c r="I11" s="161" t="inlineStr">
        <is>
          <t>חשוב</t>
        </is>
      </c>
      <c r="J11" s="161" t="inlineStr">
        <is>
          <t>הפרעות קצב עלולות לגרום להחמרה, אך אינן גורם מזוהה כאן.</t>
        </is>
      </c>
      <c r="K11" s="47" t="inlineStr">
        <is>
          <t>מאושר</t>
        </is>
      </c>
    </row>
    <row r="12">
      <c r="A12" s="42" t="inlineStr">
        <is>
          <t>CASE-004-IT-008</t>
        </is>
      </c>
      <c r="B12" s="59" t="inlineStr">
        <is>
          <t>IT-008</t>
        </is>
      </c>
      <c r="C12" s="59" t="inlineStr">
        <is>
          <t>שינויים במקטע ST</t>
        </is>
      </c>
      <c r="D12" s="161" t="inlineStr">
        <is>
          <t>אין עליות ST חדשות או שינויי ST חריפים מובהקים.</t>
        </is>
      </c>
      <c r="E12" s="62" t="n"/>
      <c r="F12" s="62" t="n"/>
      <c r="G12" s="62" t="n"/>
      <c r="H12" s="161" t="inlineStr">
        <is>
          <t>אין עליות ST חדשות או שינויי ST חריפים מובהקים.</t>
        </is>
      </c>
      <c r="I12" s="161" t="inlineStr">
        <is>
          <t>חיוני במקרה</t>
        </is>
      </c>
      <c r="J12" s="161" t="inlineStr">
        <is>
          <t>מסייע לברר אם קיים אוטם חריף; אינו שולל את כל סוגי האירוע הכלילי.</t>
        </is>
      </c>
      <c r="K12" s="47" t="inlineStr">
        <is>
          <t>מאושר</t>
        </is>
      </c>
    </row>
    <row r="13">
      <c r="A13" s="42" t="inlineStr">
        <is>
          <t>CASE-004-IT-009</t>
        </is>
      </c>
      <c r="B13" s="59" t="inlineStr">
        <is>
          <t>IT-009</t>
        </is>
      </c>
      <c r="C13" s="59" t="inlineStr">
        <is>
          <t>גלי T, גלי Q והפרעות הולכה</t>
        </is>
      </c>
      <c r="D13" s="161" t="inlineStr">
        <is>
          <t>גלי Q פתולוגיים באזור קדמי המתאימים לאוטם ישן; אין שינוי חריף בגלי T.</t>
        </is>
      </c>
      <c r="E13" s="62" t="n"/>
      <c r="F13" s="62" t="n"/>
      <c r="G13" s="62" t="n"/>
      <c r="H13" s="161" t="inlineStr">
        <is>
          <t>גלי Q פתולוגיים באזור קדמי המתאימים לאוטם ישן; אין שינוי חריף בגלי T.</t>
        </is>
      </c>
      <c r="I13" s="161" t="inlineStr">
        <is>
          <t>חשוב</t>
        </is>
      </c>
      <c r="J13" s="161" t="inlineStr">
        <is>
          <t>מכוון לנזק ישן בשריר הלב עקב אוטם קודם.</t>
        </is>
      </c>
      <c r="K13" s="47" t="inlineStr">
        <is>
          <t>מאושר</t>
        </is>
      </c>
    </row>
    <row r="14">
      <c r="A14" s="42" t="inlineStr">
        <is>
          <t>CASE-004-IT-010</t>
        </is>
      </c>
      <c r="B14" s="59" t="inlineStr">
        <is>
          <t>IT-010</t>
        </is>
      </c>
      <c r="C14" s="59" t="inlineStr">
        <is>
          <t>גודש או בצקת ריאות</t>
        </is>
      </c>
      <c r="D14" s="161" t="inlineStr">
        <is>
          <t>צילום חזה: גודש דו־צדדי בכלי הדם הריאתיים עם סימני בצקת ריאות.</t>
        </is>
      </c>
      <c r="E14" s="62" t="n"/>
      <c r="F14" s="62" t="n"/>
      <c r="G14" s="62" t="n"/>
      <c r="H14" s="161" t="inlineStr">
        <is>
          <t>צילום חזה: גודש דו־צדדי בכלי הדם הריאתיים עם סימני בצקת ריאות.</t>
        </is>
      </c>
      <c r="I14" s="161" t="inlineStr">
        <is>
          <t>חיוני במקרה</t>
        </is>
      </c>
      <c r="J14" s="161" t="inlineStr">
        <is>
          <t>תומך בהפרעה בתפקוד החדר השמאלי.</t>
        </is>
      </c>
      <c r="K14" s="47" t="inlineStr">
        <is>
          <t>מאושר</t>
        </is>
      </c>
    </row>
    <row r="15">
      <c r="A15" s="42" t="inlineStr">
        <is>
          <t>CASE-004-IT-011</t>
        </is>
      </c>
      <c r="B15" s="59" t="inlineStr">
        <is>
          <t>IT-011</t>
        </is>
      </c>
      <c r="C15" s="59" t="inlineStr">
        <is>
          <t>גודל צל הלב</t>
        </is>
      </c>
      <c r="D15" s="161" t="inlineStr">
        <is>
          <t>צילום חזה: הגדלת צל הלב (קרדיומגליה).</t>
        </is>
      </c>
      <c r="E15" s="62" t="n"/>
      <c r="F15" s="62" t="n"/>
      <c r="G15" s="62" t="n"/>
      <c r="H15" s="161" t="inlineStr">
        <is>
          <t>צילום חזה: הגדלת צל הלב (קרדיומגליה).</t>
        </is>
      </c>
      <c r="I15" s="161" t="inlineStr">
        <is>
          <t>חיוני במקרה</t>
        </is>
      </c>
      <c r="J15" s="161" t="inlineStr">
        <is>
          <t>תומך במחלת לב מבנית, אך אינו מספיק לבדו לאבחנה.</t>
        </is>
      </c>
      <c r="K15" s="47" t="inlineStr">
        <is>
          <t>מאושר</t>
        </is>
      </c>
    </row>
    <row r="16">
      <c r="A16" s="42" t="inlineStr">
        <is>
          <t>CASE-004-IT-012</t>
        </is>
      </c>
      <c r="B16" s="59" t="inlineStr">
        <is>
          <t>IT-012</t>
        </is>
      </c>
      <c r="C16" s="59" t="inlineStr">
        <is>
          <t>תפליט פלאורלי וממצא חלופי</t>
        </is>
      </c>
      <c r="D16" s="161" t="inlineStr">
        <is>
          <t>תפליטים פלאורליים קטנים דו־צדדיים, ללא תסנין ריאתי ממוקד.</t>
        </is>
      </c>
      <c r="E16" s="62" t="n"/>
      <c r="F16" s="62" t="n"/>
      <c r="G16" s="62" t="n"/>
      <c r="H16" s="161" t="inlineStr">
        <is>
          <t>תפליטים פלאורליים קטנים דו־צדדיים, ללא תסנין ריאתי ממוקד.</t>
        </is>
      </c>
      <c r="I16" s="161" t="inlineStr">
        <is>
          <t>חשוב</t>
        </is>
      </c>
      <c r="J16" s="161" t="inlineStr">
        <is>
          <t>תומך בגודש; היעדר תסנין ממוקד מפחית תמיכה בדלקת ריאות.</t>
        </is>
      </c>
      <c r="K16" s="47" t="inlineStr">
        <is>
          <t>מאושר</t>
        </is>
      </c>
    </row>
    <row r="17">
      <c r="A17" s="42" t="inlineStr">
        <is>
          <t>CASE-004-IT-013</t>
        </is>
      </c>
      <c r="B17" s="59" t="inlineStr">
        <is>
          <t>IT-013</t>
        </is>
      </c>
      <c r="C17" s="59" t="inlineStr">
        <is>
          <t>המוגלובין והמטוקריט</t>
        </is>
      </c>
      <c r="D17" s="161" t="inlineStr">
        <is>
          <t>נוצר אוטומטית מתוצאות_מספריות.</t>
        </is>
      </c>
      <c r="E17" s="62" t="n"/>
      <c r="F17" s="62" t="n"/>
      <c r="G17" s="62" t="n"/>
      <c r="H17" s="161" t="inlineStr">
        <is>
          <t>המוגלובין 13.8 והמטוקריט 41% — תקינים.</t>
        </is>
      </c>
      <c r="I17" s="161" t="inlineStr">
        <is>
          <t>חשוב</t>
        </is>
      </c>
      <c r="J17" s="161" t="inlineStr">
        <is>
          <t>מאפשרים לשקול האם אנמיה מסבירה את קוצר הנשימה.</t>
        </is>
      </c>
      <c r="K17" s="47" t="inlineStr">
        <is>
          <t>מאושר</t>
        </is>
      </c>
    </row>
    <row r="18">
      <c r="A18" s="42" t="inlineStr">
        <is>
          <t>CASE-004-IT-014</t>
        </is>
      </c>
      <c r="B18" s="59" t="inlineStr">
        <is>
          <t>IT-014</t>
        </is>
      </c>
      <c r="C18" s="59" t="inlineStr">
        <is>
          <t>תאי דם לבנים</t>
        </is>
      </c>
      <c r="D18" s="161" t="inlineStr">
        <is>
          <t>נוצר אוטומטית מתוצאות_מספריות.</t>
        </is>
      </c>
      <c r="E18" s="62" t="n"/>
      <c r="F18" s="62" t="n"/>
      <c r="G18" s="62" t="n"/>
      <c r="H18" s="161" t="inlineStr">
        <is>
          <t>לויקוציטים 7.8 אלף/µL — תקין.</t>
        </is>
      </c>
      <c r="I18" s="161" t="inlineStr">
        <is>
          <t>חשוב</t>
        </is>
      </c>
      <c r="J18" s="161" t="inlineStr">
        <is>
          <t>חוסר לויקוציטוזיס מוריד תמיכה בזיהום משמעותי אך לא שולל אותו.</t>
        </is>
      </c>
      <c r="K18" s="47" t="inlineStr">
        <is>
          <t>מאושר</t>
        </is>
      </c>
    </row>
    <row r="19">
      <c r="A19" s="42" t="inlineStr">
        <is>
          <t>CASE-004-IT-015</t>
        </is>
      </c>
      <c r="B19" s="59" t="inlineStr">
        <is>
          <t>IT-015</t>
        </is>
      </c>
      <c r="C19" s="59" t="inlineStr">
        <is>
          <t>טסיות דם</t>
        </is>
      </c>
      <c r="D19" s="161" t="inlineStr">
        <is>
          <t>נוצר אוטומטית מתוצאות_מספריות.</t>
        </is>
      </c>
      <c r="E19" s="62" t="n"/>
      <c r="F19" s="62" t="n"/>
      <c r="G19" s="62" t="n"/>
      <c r="H19" s="161" t="inlineStr">
        <is>
          <t>טסיות 235 אלף/µL — תקין.</t>
        </is>
      </c>
      <c r="I19" s="161" t="inlineStr">
        <is>
          <t>משלים</t>
        </is>
      </c>
      <c r="J19" s="161" t="inlineStr">
        <is>
          <t>חשובות לרקע לפני טיפולים אך אינן מוכיחות אי־ספיקת לב.</t>
        </is>
      </c>
      <c r="K19" s="47" t="inlineStr">
        <is>
          <t>מאושר</t>
        </is>
      </c>
    </row>
    <row r="20">
      <c r="A20" s="42" t="inlineStr">
        <is>
          <t>CASE-004-IT-016</t>
        </is>
      </c>
      <c r="B20" s="59" t="inlineStr">
        <is>
          <t>IT-016</t>
        </is>
      </c>
      <c r="C20" s="59" t="inlineStr">
        <is>
          <t>גלוקוז בדם</t>
        </is>
      </c>
      <c r="D20" s="161" t="inlineStr">
        <is>
          <t>נוצר אוטומטית מתוצאות_מספריות.</t>
        </is>
      </c>
      <c r="E20" s="62" t="n"/>
      <c r="F20" s="62" t="n"/>
      <c r="G20" s="62" t="n"/>
      <c r="H20" s="161" t="inlineStr">
        <is>
          <t>גלוקוז 155 mg/dL — גבוה.</t>
        </is>
      </c>
      <c r="I20" s="161" t="inlineStr">
        <is>
          <t>חשוב</t>
        </is>
      </c>
      <c r="J20" s="161" t="inlineStr">
        <is>
          <t>מסייע בהערכת סוכרת ואיזון גורמי סיכון.</t>
        </is>
      </c>
      <c r="K20" s="47" t="inlineStr">
        <is>
          <t>מאושר</t>
        </is>
      </c>
    </row>
    <row r="21">
      <c r="A21" s="42" t="inlineStr">
        <is>
          <t>CASE-004-IT-017</t>
        </is>
      </c>
      <c r="B21" s="59" t="inlineStr">
        <is>
          <t>IT-017</t>
        </is>
      </c>
      <c r="C21" s="59" t="inlineStr">
        <is>
          <t>המוגלובין מסוכרר HbA1c</t>
        </is>
      </c>
      <c r="D21" s="161" t="inlineStr">
        <is>
          <t>נוצר אוטומטית מתוצאות_מספריות.</t>
        </is>
      </c>
      <c r="E21" s="62" t="n"/>
      <c r="F21" s="62" t="n"/>
      <c r="G21" s="62" t="n"/>
      <c r="H21" s="161" t="inlineStr">
        <is>
          <t>HbA1c 7.5% — איזון סוכרת אינו מיטבי.</t>
        </is>
      </c>
      <c r="I21" s="161" t="inlineStr">
        <is>
          <t>חשוב</t>
        </is>
      </c>
      <c r="J21" s="161" t="inlineStr">
        <is>
          <t>משקף סוכר ממוצע בחודשים האחרונים, גורם סיכון נלווה.</t>
        </is>
      </c>
      <c r="K21" s="47" t="inlineStr">
        <is>
          <t>מאושר</t>
        </is>
      </c>
    </row>
    <row r="22">
      <c r="A22" s="42" t="inlineStr">
        <is>
          <t>CASE-004-IT-018</t>
        </is>
      </c>
      <c r="B22" s="59" t="inlineStr">
        <is>
          <t>IT-018</t>
        </is>
      </c>
      <c r="C22" s="59" t="inlineStr">
        <is>
          <t>כולסטרול כללי</t>
        </is>
      </c>
      <c r="D22" s="161" t="inlineStr">
        <is>
          <t>נוצר אוטומטית מתוצאות_מספריות.</t>
        </is>
      </c>
      <c r="E22" s="62" t="n"/>
      <c r="F22" s="62" t="n"/>
      <c r="G22" s="62" t="n"/>
      <c r="H22" s="161" t="inlineStr">
        <is>
          <t>כולסטרול כללי 208 mg/dL — מעט גבוה.</t>
        </is>
      </c>
      <c r="I22" s="161" t="inlineStr">
        <is>
          <t>חשוב</t>
        </is>
      </c>
      <c r="J22" s="161" t="inlineStr">
        <is>
          <t>תורם להערכת סיכון טרשתי.</t>
        </is>
      </c>
      <c r="K22" s="47" t="inlineStr">
        <is>
          <t>מאושר</t>
        </is>
      </c>
    </row>
    <row r="23">
      <c r="A23" s="42" t="inlineStr">
        <is>
          <t>CASE-004-IT-019</t>
        </is>
      </c>
      <c r="B23" s="59" t="inlineStr">
        <is>
          <t>IT-019</t>
        </is>
      </c>
      <c r="C23" s="59" t="inlineStr">
        <is>
          <t>LDL</t>
        </is>
      </c>
      <c r="D23" s="161" t="inlineStr">
        <is>
          <t>נוצר אוטומטית מתוצאות_מספריות.</t>
        </is>
      </c>
      <c r="E23" s="62" t="n"/>
      <c r="F23" s="62" t="n"/>
      <c r="G23" s="62" t="n"/>
      <c r="H23" s="161" t="inlineStr">
        <is>
          <t>LDL 132 mg/dL — גבוה יחסית למי שעבר אוטם.</t>
        </is>
      </c>
      <c r="I23" s="161" t="inlineStr">
        <is>
          <t>חשוב</t>
        </is>
      </c>
      <c r="J23" s="161" t="inlineStr">
        <is>
          <t>סיכון מוגבר להמשך מחלת עורקים כליליים.</t>
        </is>
      </c>
      <c r="K23" s="47" t="inlineStr">
        <is>
          <t>מאושר</t>
        </is>
      </c>
    </row>
    <row r="24">
      <c r="A24" s="42" t="inlineStr">
        <is>
          <t>CASE-004-IT-020</t>
        </is>
      </c>
      <c r="B24" s="59" t="inlineStr">
        <is>
          <t>IT-020</t>
        </is>
      </c>
      <c r="C24" s="59" t="inlineStr">
        <is>
          <t>HDL</t>
        </is>
      </c>
      <c r="D24" s="161" t="inlineStr">
        <is>
          <t>נוצר אוטומטית מתוצאות_מספריות.</t>
        </is>
      </c>
      <c r="E24" s="62" t="n"/>
      <c r="F24" s="62" t="n"/>
      <c r="G24" s="62" t="n"/>
      <c r="H24" s="161" t="inlineStr">
        <is>
          <t>HDL 37 mg/dL — נמוך.</t>
        </is>
      </c>
      <c r="I24" s="161" t="inlineStr">
        <is>
          <t>חשוב</t>
        </is>
      </c>
      <c r="J24" s="161" t="inlineStr">
        <is>
          <t>קשור לסיכון קרדיווסקולרי גבוה.</t>
        </is>
      </c>
      <c r="K24" s="47" t="inlineStr">
        <is>
          <t>מאושר</t>
        </is>
      </c>
    </row>
    <row r="25">
      <c r="A25" s="42" t="inlineStr">
        <is>
          <t>CASE-004-IT-021</t>
        </is>
      </c>
      <c r="B25" s="59" t="inlineStr">
        <is>
          <t>IT-021</t>
        </is>
      </c>
      <c r="C25" s="59" t="inlineStr">
        <is>
          <t>טריגליצרידים</t>
        </is>
      </c>
      <c r="D25" s="161" t="inlineStr">
        <is>
          <t>נוצר אוטומטית מתוצאות_מספריות.</t>
        </is>
      </c>
      <c r="E25" s="62" t="n"/>
      <c r="F25" s="62" t="n"/>
      <c r="G25" s="62" t="n"/>
      <c r="H25" s="161" t="inlineStr">
        <is>
          <t>טריגליצרידים 190 mg/dL — מוגברים.</t>
        </is>
      </c>
      <c r="I25" s="161" t="inlineStr">
        <is>
          <t>משלים</t>
        </is>
      </c>
      <c r="J25" s="161" t="inlineStr">
        <is>
          <t>מעידים על הפרעה בשומני הדם.</t>
        </is>
      </c>
      <c r="K25" s="47" t="inlineStr">
        <is>
          <t>מאושר</t>
        </is>
      </c>
    </row>
    <row r="26">
      <c r="A26" s="42" t="inlineStr">
        <is>
          <t>CASE-004-IT-022</t>
        </is>
      </c>
      <c r="B26" s="59" t="inlineStr">
        <is>
          <t>IT-022</t>
        </is>
      </c>
      <c r="C26" s="59" t="inlineStr">
        <is>
          <t>נתרן</t>
        </is>
      </c>
      <c r="D26" s="161" t="inlineStr">
        <is>
          <t>נוצר אוטומטית מתוצאות_מספריות.</t>
        </is>
      </c>
      <c r="E26" s="62" t="n"/>
      <c r="F26" s="62" t="n"/>
      <c r="G26" s="62" t="n"/>
      <c r="H26" s="161" t="inlineStr">
        <is>
          <t>נתרן 134 mmol/L — מעט נמוך.</t>
        </is>
      </c>
      <c r="I26" s="161" t="inlineStr">
        <is>
          <t>חשוב</t>
        </is>
      </c>
      <c r="J26" s="161" t="inlineStr">
        <is>
          <t>לעיתים קשור לאצירת מים באי־ספיקת לב; חשוב למעקב.</t>
        </is>
      </c>
      <c r="K26" s="47" t="inlineStr">
        <is>
          <t>מאושר</t>
        </is>
      </c>
    </row>
    <row r="27">
      <c r="A27" s="42" t="inlineStr">
        <is>
          <t>CASE-004-IT-023</t>
        </is>
      </c>
      <c r="B27" s="59" t="inlineStr">
        <is>
          <t>IT-023</t>
        </is>
      </c>
      <c r="C27" s="59" t="inlineStr">
        <is>
          <t>אשלגן</t>
        </is>
      </c>
      <c r="D27" s="161" t="inlineStr">
        <is>
          <t>נוצר אוטומטית מתוצאות_מספריות.</t>
        </is>
      </c>
      <c r="E27" s="62" t="n"/>
      <c r="F27" s="62" t="n"/>
      <c r="G27" s="62" t="n"/>
      <c r="H27" s="161" t="inlineStr">
        <is>
          <t>אשלגן 4.5 mmol/L — תקין.</t>
        </is>
      </c>
      <c r="I27" s="161" t="inlineStr">
        <is>
          <t>חשוב</t>
        </is>
      </c>
      <c r="J27" s="161" t="inlineStr">
        <is>
          <t>חשוב לניטור לפני ובמהלך טיפול במשתנים ומעכבי ACE.</t>
        </is>
      </c>
      <c r="K27" s="47" t="inlineStr">
        <is>
          <t>מאושר</t>
        </is>
      </c>
    </row>
    <row r="28">
      <c r="A28" s="42" t="inlineStr">
        <is>
          <t>CASE-004-IT-024</t>
        </is>
      </c>
      <c r="B28" s="59" t="inlineStr">
        <is>
          <t>IT-024</t>
        </is>
      </c>
      <c r="C28" s="59" t="inlineStr">
        <is>
          <t>מגנזיום וסידן</t>
        </is>
      </c>
      <c r="D28" s="161" t="inlineStr">
        <is>
          <t>נוצר אוטומטית מתוצאות_מספריות.</t>
        </is>
      </c>
      <c r="E28" s="62" t="n"/>
      <c r="F28" s="62" t="n"/>
      <c r="G28" s="62" t="n"/>
      <c r="H28" s="161" t="inlineStr">
        <is>
          <t>מגנזיום 2.0, סידן 9.2 — תקינים.</t>
        </is>
      </c>
      <c r="I28" s="161" t="inlineStr">
        <is>
          <t>משלים</t>
        </is>
      </c>
      <c r="J28" s="161" t="inlineStr">
        <is>
          <t>אלקטרוליטים משמשים להערכת בטיחות וטיפול, אך אינם מאבחנים אי־ספיקת לב.</t>
        </is>
      </c>
      <c r="K28" s="47" t="inlineStr">
        <is>
          <t>מאושר</t>
        </is>
      </c>
    </row>
    <row r="29">
      <c r="A29" s="42" t="inlineStr">
        <is>
          <t>CASE-004-IT-025</t>
        </is>
      </c>
      <c r="B29" s="59" t="inlineStr">
        <is>
          <t>IT-025</t>
        </is>
      </c>
      <c r="C29" s="59" t="inlineStr">
        <is>
          <t>תפקודי תריס</t>
        </is>
      </c>
      <c r="D29" s="161" t="inlineStr">
        <is>
          <t>נוצר אוטומטית מתוצאות_מספריות.</t>
        </is>
      </c>
      <c r="E29" s="62" t="n"/>
      <c r="F29" s="62" t="n"/>
      <c r="G29" s="62" t="n"/>
      <c r="H29" s="161" t="inlineStr">
        <is>
          <t>TSH 2.1 ו-FT4 1.2 — תפקודי תריס תקינים.</t>
        </is>
      </c>
      <c r="I29" s="161" t="inlineStr">
        <is>
          <t>משלים</t>
        </is>
      </c>
      <c r="J29" s="161" t="inlineStr">
        <is>
          <t>הפרעת תריס עלולה להשפיע על קצב הלב; אינה ההסבר כאן.</t>
        </is>
      </c>
      <c r="K29" s="47" t="inlineStr">
        <is>
          <t>מאושר</t>
        </is>
      </c>
    </row>
    <row r="30">
      <c r="A30" s="42" t="inlineStr">
        <is>
          <t>CASE-004-IT-026</t>
        </is>
      </c>
      <c r="B30" s="59" t="inlineStr">
        <is>
          <t>IT-026</t>
        </is>
      </c>
      <c r="C30" s="59" t="inlineStr">
        <is>
          <t>תפקודי כבד ואלבומין</t>
        </is>
      </c>
      <c r="D30" s="161" t="inlineStr">
        <is>
          <t>נוצר אוטומטית מתוצאות_מספריות.</t>
        </is>
      </c>
      <c r="E30" s="62" t="n"/>
      <c r="F30" s="62" t="n"/>
      <c r="G30" s="62" t="n"/>
      <c r="H30" s="161" t="inlineStr">
        <is>
          <t>תפקודי כבד: פגיעה קלה בבדיקות הכבד, מתאימה לגודש ורידי.</t>
        </is>
      </c>
      <c r="I30" s="161" t="inlineStr">
        <is>
          <t>חשוב</t>
        </is>
      </c>
      <c r="J30" s="161" t="inlineStr">
        <is>
          <t>לחץ גבוה במערכת הוורידית באי־ספיקת לב ימנית עלול לגרום לגודש בכבד.</t>
        </is>
      </c>
      <c r="K30" s="47" t="inlineStr">
        <is>
          <t>מאושר</t>
        </is>
      </c>
    </row>
    <row r="31">
      <c r="A31" s="42" t="inlineStr">
        <is>
          <t>CASE-004-IT-027</t>
        </is>
      </c>
      <c r="B31" s="59" t="inlineStr">
        <is>
          <t>IT-027</t>
        </is>
      </c>
      <c r="C31" s="59" t="inlineStr">
        <is>
          <t>תפקודי קרישה</t>
        </is>
      </c>
      <c r="D31" s="161" t="inlineStr">
        <is>
          <t>נוצר אוטומטית מתוצאות_מספריות.</t>
        </is>
      </c>
      <c r="E31" s="62" t="n"/>
      <c r="F31" s="62" t="n"/>
      <c r="G31" s="62" t="n"/>
      <c r="H31" s="161" t="inlineStr">
        <is>
          <t>INR 1.0 — תפקודי קרישה תקינים.</t>
        </is>
      </c>
      <c r="I31" s="161" t="inlineStr">
        <is>
          <t>משלים</t>
        </is>
      </c>
      <c r="J31" s="161" t="inlineStr">
        <is>
          <t>מידע רקע לקראת פרוצדורות; אינו מצביע על אי־ספיקת לב.</t>
        </is>
      </c>
      <c r="K31" s="47" t="inlineStr">
        <is>
          <t>מאושר</t>
        </is>
      </c>
    </row>
    <row r="32">
      <c r="A32" s="42" t="inlineStr">
        <is>
          <t>CASE-004-IT-028</t>
        </is>
      </c>
      <c r="B32" s="59" t="inlineStr">
        <is>
          <t>IT-028</t>
        </is>
      </c>
      <c r="C32" s="59" t="inlineStr">
        <is>
          <t>טרופונין</t>
        </is>
      </c>
      <c r="D32" s="161" t="inlineStr">
        <is>
          <t>נוצר אוטומטית מתוצאות_מספריות.</t>
        </is>
      </c>
      <c r="E32" s="62" t="n"/>
      <c r="F32" s="62" t="n"/>
      <c r="G32" s="62" t="n"/>
      <c r="H32" s="161" t="inlineStr">
        <is>
          <t>hs-Troponin I 12 ng/L — ללא עלייה אבחנתית במדידה זו.</t>
        </is>
      </c>
      <c r="I32" s="161" t="inlineStr">
        <is>
          <t>חיוני במקרה</t>
        </is>
      </c>
      <c r="J32" s="161" t="inlineStr">
        <is>
          <t>עם אק״ג ותלונות מאפשר לברר אוטם חדש; מדידה בודדת אינה שוללת תמיד אוטם.</t>
        </is>
      </c>
      <c r="K32" s="47" t="inlineStr">
        <is>
          <t>מאושר</t>
        </is>
      </c>
    </row>
    <row r="33">
      <c r="A33" s="42" t="inlineStr">
        <is>
          <t>CASE-004-IT-029</t>
        </is>
      </c>
      <c r="B33" s="59" t="inlineStr">
        <is>
          <t>IT-029</t>
        </is>
      </c>
      <c r="C33" s="59" t="inlineStr">
        <is>
          <t>CK או CPK ו-CK-MB</t>
        </is>
      </c>
      <c r="D33" s="161" t="inlineStr">
        <is>
          <t>נוצר אוטומטית מתוצאות_מספריות.</t>
        </is>
      </c>
      <c r="E33" s="62" t="n"/>
      <c r="F33" s="62" t="n"/>
      <c r="G33" s="62" t="n"/>
      <c r="H33" s="161" t="inlineStr">
        <is>
          <t>CPK 110 ו-CK-MB 2.2 — ללא עלייה משמעותית.</t>
        </is>
      </c>
      <c r="I33" s="161" t="inlineStr">
        <is>
          <t>משלים</t>
        </is>
      </c>
      <c r="J33" s="161" t="inlineStr">
        <is>
          <t>טרופונין הוא הסמן המועדף לאוטם חדש.</t>
        </is>
      </c>
      <c r="K33" s="47" t="inlineStr">
        <is>
          <t>מאושר</t>
        </is>
      </c>
    </row>
    <row r="34">
      <c r="A34" s="42" t="inlineStr">
        <is>
          <t>CASE-004-IT-030</t>
        </is>
      </c>
      <c r="B34" s="59" t="inlineStr">
        <is>
          <t>IT-030</t>
        </is>
      </c>
      <c r="C34" s="59" t="inlineStr">
        <is>
          <t>אוריאה</t>
        </is>
      </c>
      <c r="D34" s="161" t="inlineStr">
        <is>
          <t>נוצר אוטומטית מתוצאות_מספריות.</t>
        </is>
      </c>
      <c r="E34" s="62" t="n"/>
      <c r="F34" s="62" t="n"/>
      <c r="G34" s="62" t="n"/>
      <c r="H34" s="161" t="inlineStr">
        <is>
          <t>אוריאה 55 mg/dL — גבוהה במעט.</t>
        </is>
      </c>
      <c r="I34" s="161" t="inlineStr">
        <is>
          <t>חשוב</t>
        </is>
      </c>
      <c r="J34" s="161" t="inlineStr">
        <is>
          <t>עלולה לעלות עקב ירידה בזילוח הכליות או מחלת רקע.</t>
        </is>
      </c>
      <c r="K34" s="47" t="inlineStr">
        <is>
          <t>מאושר</t>
        </is>
      </c>
    </row>
    <row r="35">
      <c r="A35" s="42" t="inlineStr">
        <is>
          <t>CASE-004-IT-031</t>
        </is>
      </c>
      <c r="B35" s="59" t="inlineStr">
        <is>
          <t>IT-031</t>
        </is>
      </c>
      <c r="C35" s="59" t="inlineStr">
        <is>
          <t>קריאטינין ו-eGFR</t>
        </is>
      </c>
      <c r="D35" s="161" t="inlineStr">
        <is>
          <t>נוצר אוטומטית מתוצאות_מספריות.</t>
        </is>
      </c>
      <c r="E35" s="62" t="n"/>
      <c r="F35" s="62" t="n"/>
      <c r="G35" s="62" t="n"/>
      <c r="H35" s="161" t="inlineStr">
        <is>
          <t>קריאטינין 1.45 mg/dL; eGFR כ־52 — ירידה בתפקוד הכליות.</t>
        </is>
      </c>
      <c r="I35" s="161" t="inlineStr">
        <is>
          <t>חיוני במקרה</t>
        </is>
      </c>
      <c r="J35" s="161" t="inlineStr">
        <is>
          <t>יש לעקוב אחר תפקוד הכליות בעת טיפול במשתנים ובמעכבי ACE.</t>
        </is>
      </c>
      <c r="K35" s="47" t="inlineStr">
        <is>
          <t>מאושר</t>
        </is>
      </c>
    </row>
    <row r="36">
      <c r="A36" s="42" t="inlineStr">
        <is>
          <t>CASE-004-IT-032</t>
        </is>
      </c>
      <c r="B36" s="59" t="inlineStr">
        <is>
          <t>IT-032</t>
        </is>
      </c>
      <c r="C36" s="59" t="inlineStr">
        <is>
          <t>BNP או NT-proBNP</t>
        </is>
      </c>
      <c r="D36" s="162" t="inlineStr">
        <is>
          <t>נוצר אוטומטית מתוצאות_מספריות.</t>
        </is>
      </c>
      <c r="E36" s="62" t="n"/>
      <c r="F36" s="62" t="n"/>
      <c r="G36" s="62" t="n"/>
      <c r="H36" s="162" t="inlineStr">
        <is>
          <t>BNP לא נכלל בחומר הלימוד במקרה הזה.</t>
        </is>
      </c>
      <c r="I36" s="162" t="inlineStr">
        <is>
          <t>בדרך כלל לא מרכזי</t>
        </is>
      </c>
      <c r="J36" s="162" t="inlineStr">
        <is>
          <t>אין לצפות מהתלמיד להכיר או להזמין BNP; אם הממשק מציג את הבדיקה, נדרשת הסתרה בתוכנה.</t>
        </is>
      </c>
      <c r="K36" s="47" t="inlineStr">
        <is>
          <t>מאושר</t>
        </is>
      </c>
    </row>
    <row r="37">
      <c r="A37" s="44" t="inlineStr">
        <is>
          <t>CASE-004-IT-033</t>
        </is>
      </c>
      <c r="B37" s="60" t="inlineStr">
        <is>
          <t>IT-033</t>
        </is>
      </c>
      <c r="C37" s="60" t="inlineStr">
        <is>
          <t>סטיק שתן</t>
        </is>
      </c>
      <c r="D37" s="163" t="inlineStr">
        <is>
          <t>סטיק שתן: חלבון בכמות קטנה, גלוקוז בכמות קטנה; ללא עדות לזיהום.</t>
        </is>
      </c>
      <c r="E37" s="63" t="n"/>
      <c r="F37" s="63" t="n"/>
      <c r="G37" s="63" t="n"/>
      <c r="H37" s="163" t="inlineStr">
        <is>
          <t>סטיק שתן: חלבון בכמות קטנה, גלוקוז בכמות קטנה; ללא עדות לזיהום.</t>
        </is>
      </c>
      <c r="I37" s="163" t="inlineStr">
        <is>
          <t>משלים</t>
        </is>
      </c>
      <c r="J37" s="163" t="inlineStr">
        <is>
          <t>יכול להתאים לסוכרת ולפגיעה כלייתית; אינו מאבחן אי־ספיקת לב.</t>
        </is>
      </c>
      <c r="K37" s="48" t="inlineStr">
        <is>
          <t>מאושר</t>
        </is>
      </c>
    </row>
  </sheetData>
  <mergeCells count="2">
    <mergeCell ref="A2:K2"/>
    <mergeCell ref="A1:K1"/>
  </mergeCells>
  <conditionalFormatting sqref="I5:I37">
    <cfRule type="containsText" priority="1" operator="containsText" dxfId="0" text="חיוני במקרה"/>
    <cfRule type="containsText" priority="2" operator="containsText" dxfId="1" text="חשוב"/>
    <cfRule type="containsText" priority="3" operator="containsText" dxfId="2" text="משלים"/>
    <cfRule type="containsText" priority="4" operator="containsText" dxfId="3" text="בדרך כלל לא מרכזי"/>
  </conditionalFormatting>
  <dataValidations count="1">
    <dataValidation sqref="I5:I37" showDropDown="0" showInputMessage="0" showErrorMessage="0" allowBlank="0" type="list">
      <formula1>"חיוני במקרה,חשוב,משלים,בדרך כלל לא מרכזי"</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16.67000007629395" customWidth="1" min="1" max="1"/>
    <col width="12.22000026702881" customWidth="1" min="2" max="2"/>
    <col width="24.44000053405762" customWidth="1" min="3" max="3"/>
    <col width="47.77999877929688" customWidth="1" min="4" max="4"/>
    <col width="11.10999965667725" customWidth="1" min="5" max="5"/>
    <col width="37.77999877929688" customWidth="1" min="6" max="6"/>
    <col width="13.89000034332275" customWidth="1" min="7" max="7"/>
    <col width="35.56000137329102" customWidth="1" min="8" max="8"/>
    <col width="10" customWidth="1" min="9" max="9"/>
  </cols>
  <sheetData>
    <row r="1" ht="30" customHeight="1">
      <c r="A1" s="4" t="inlineStr">
        <is>
          <t>תבנית בדיקות המשך</t>
        </is>
      </c>
    </row>
    <row r="2" ht="34" customHeight="1">
      <c r="A2" s="9" t="inlineStr">
        <is>
          <t>כל 9 המזהים קיימים. גם בדיקה שאינה מוצדקת מקבלת תוצאה קבועה והערכת מידתיות.</t>
        </is>
      </c>
    </row>
    <row r="3"/>
    <row r="4" ht="36" customHeight="1">
      <c r="A4" s="20" t="inlineStr">
        <is>
          <t>מזהה ערך בתיק</t>
        </is>
      </c>
      <c r="B4" s="20" t="inlineStr">
        <is>
          <t>מזהה רכיב בסיס</t>
        </is>
      </c>
      <c r="C4" s="20" t="inlineStr">
        <is>
          <t>בדיקה</t>
        </is>
      </c>
      <c r="D4" s="20" t="inlineStr">
        <is>
          <t>תוצאה קבועה</t>
        </is>
      </c>
      <c r="E4" s="20" t="inlineStr">
        <is>
          <t>זמינות</t>
        </is>
      </c>
      <c r="F4" s="20" t="inlineStr">
        <is>
          <t>השפעה על החשיבה</t>
        </is>
      </c>
      <c r="G4" s="20" t="inlineStr">
        <is>
          <t>חשיבות במקרה</t>
        </is>
      </c>
      <c r="H4" s="20" t="inlineStr">
        <is>
          <t>היגיון למשוב</t>
        </is>
      </c>
      <c r="I4" s="20" t="inlineStr">
        <is>
          <t>סטטוס</t>
        </is>
      </c>
    </row>
    <row r="5">
      <c r="A5" s="40" t="inlineStr">
        <is>
          <t>CASE-004-FT-001</t>
        </is>
      </c>
      <c r="B5" s="58" t="inlineStr">
        <is>
          <t>FT-001</t>
        </is>
      </c>
      <c r="C5" s="58" t="inlineStr">
        <is>
          <t>אקו-קרדיוגרפיה</t>
        </is>
      </c>
      <c r="D5" s="160" t="inlineStr">
        <is>
          <t>אקו: חדר שמאל מורחב, EF 32%, ירידה גלובלית בהתכווצות ואזור קדמי עם תנועתיות מופחתת אחרי אוטם ישן; תפקוד חדר ימין ירוד במידה בינונית. ללא מחלת מסתמים קשה.</t>
        </is>
      </c>
      <c r="E5" s="61" t="inlineStr">
        <is>
          <t>לא מיידי</t>
        </is>
      </c>
      <c r="F5" s="160" t="inlineStr">
        <is>
          <t>מאשר אי־ספיקת לב עם ירידה בתפקוד חדר שמאל ומעורבות חדר ימין.</t>
        </is>
      </c>
      <c r="G5" s="160" t="inlineStr">
        <is>
          <t>חיוני במקרה</t>
        </is>
      </c>
      <c r="H5" s="160" t="inlineStr">
        <is>
          <t>זו בדיקת הבחירה להגדרת תפקוד חדרי הלב ומקטע הפליטה.</t>
        </is>
      </c>
      <c r="I5" s="46" t="inlineStr">
        <is>
          <t>מאושר</t>
        </is>
      </c>
    </row>
    <row r="6">
      <c r="A6" s="42" t="inlineStr">
        <is>
          <t>CASE-004-FT-002</t>
        </is>
      </c>
      <c r="B6" s="59" t="inlineStr">
        <is>
          <t>FT-002</t>
        </is>
      </c>
      <c r="C6" s="59" t="inlineStr">
        <is>
          <t>הולטר אק״ג</t>
        </is>
      </c>
      <c r="D6" s="162" t="inlineStr">
        <is>
          <t>הולטר לאחר התייצבות: קצב סינוס ברוב הזמן, פעימות מוקדמות בודדות, ללא פרפור עליות ממושך.</t>
        </is>
      </c>
      <c r="E6" s="62" t="inlineStr">
        <is>
          <t>לא מיידי</t>
        </is>
      </c>
      <c r="F6" s="162" t="inlineStr">
        <is>
          <t>לא מזוהה גורם קצבי עיקרי להחמרה.</t>
        </is>
      </c>
      <c r="G6" s="162" t="inlineStr">
        <is>
          <t>משלים</t>
        </is>
      </c>
      <c r="H6" s="162" t="inlineStr">
        <is>
          <t>שימושי בחשד להפרעת קצב, אך אינו קודם לאקו ולטיפול בגודש.</t>
        </is>
      </c>
      <c r="I6" s="47" t="inlineStr">
        <is>
          <t>מאושר</t>
        </is>
      </c>
    </row>
    <row r="7">
      <c r="A7" s="42" t="inlineStr">
        <is>
          <t>CASE-004-FT-003</t>
        </is>
      </c>
      <c r="B7" s="59" t="inlineStr">
        <is>
          <t>FT-003</t>
        </is>
      </c>
      <c r="C7" s="59" t="inlineStr">
        <is>
          <t>מבחן מאמץ</t>
        </is>
      </c>
      <c r="D7" s="162" t="inlineStr">
        <is>
          <t>רק לאחר התייצבות: התעייפות וקוצר נשימה במאמץ קל; מבחן שהופסק מוקדם, ללא שינויי ST חדשים, עם סימני אוטם ישן באק״ג הבסיסי. הבדיקה אינה אבחנתית לשלילת איסכמיה.</t>
        </is>
      </c>
      <c r="E7" s="62" t="inlineStr">
        <is>
          <t>לא מיידי</t>
        </is>
      </c>
      <c r="F7" s="162" t="inlineStr">
        <is>
          <t>מעיד על כושר מאמץ ירוד, אינו שולל איסכמיה בגלל עומס לא מספק.</t>
        </is>
      </c>
      <c r="G7" s="162" t="inlineStr">
        <is>
          <t>בדרך כלל לא מרכזי</t>
        </is>
      </c>
      <c r="H7" s="162" t="inlineStr">
        <is>
          <t>אסור לבצע ארגומטריה בשלב ההחמרה החריפה עם מצוקה נשימתית; יש לייצב תחילה.</t>
        </is>
      </c>
      <c r="I7" s="47" t="inlineStr">
        <is>
          <t>מאושר</t>
        </is>
      </c>
    </row>
    <row r="8">
      <c r="A8" s="42" t="inlineStr">
        <is>
          <t>CASE-004-FT-004</t>
        </is>
      </c>
      <c r="B8" s="59" t="inlineStr">
        <is>
          <t>FT-004</t>
        </is>
      </c>
      <c r="C8" s="59" t="inlineStr">
        <is>
          <t>מיפוי לב במאמץ</t>
        </is>
      </c>
      <c r="D8" s="162" t="inlineStr">
        <is>
          <t>רק לאחר התייצבות וכשיש התוויה: במיפוי פגם קליטה קבוע באזור קדמי התואם צלקת מאוטם ישן, ללא עדות לאיסכמיה הפיכה משמעותית.</t>
        </is>
      </c>
      <c r="E8" s="62" t="inlineStr">
        <is>
          <t>לא מיידי</t>
        </is>
      </c>
      <c r="F8" s="162" t="inlineStr">
        <is>
          <t>תומך בנזק איסכמי ישן, ללא ממצא ברור לחסימה פעילה חדשה.</t>
        </is>
      </c>
      <c r="G8" s="162" t="inlineStr">
        <is>
          <t>משלים</t>
        </is>
      </c>
      <c r="H8" s="162" t="inlineStr">
        <is>
          <t>מיפוי אינו בדיקת קו ראשון לאבחנת אי־ספיקת לב חריפה; מתאים להערכת איסכמיה לאחר ייצוב.</t>
        </is>
      </c>
      <c r="I8" s="47" t="inlineStr">
        <is>
          <t>מאושר</t>
        </is>
      </c>
    </row>
    <row r="9">
      <c r="A9" s="42" t="inlineStr">
        <is>
          <t>CASE-004-FT-005</t>
        </is>
      </c>
      <c r="B9" s="59" t="inlineStr">
        <is>
          <t>FT-005</t>
        </is>
      </c>
      <c r="C9" s="59" t="inlineStr">
        <is>
          <t>CT אנגיוגרפיה של העורקים הכליליים</t>
        </is>
      </c>
      <c r="D9" s="162" t="inlineStr">
        <is>
          <t>CT אנגיוגרפיה כלילית לאחר ייצוב: שינויים טרשתיים קלים עד בינוניים; הערכת אזור התומכן מוגבלת במידת מה.</t>
        </is>
      </c>
      <c r="E9" s="62" t="inlineStr">
        <is>
          <t>לא מיידי</t>
        </is>
      </c>
      <c r="F9" s="162" t="inlineStr">
        <is>
          <t>אין עדות חד־משמעית לחסימה קשה חדשה, אך הבדיקה אינה נדרשת כעת.</t>
        </is>
      </c>
      <c r="G9" s="162" t="inlineStr">
        <is>
          <t>בדרך כלל לא מרכזי</t>
        </is>
      </c>
      <c r="H9" s="162" t="inlineStr">
        <is>
          <t>בחולה עם תומכן ותפקוד כלייתי ירוד מעט, הבדיקה פחות מועילה כבירור ראשון ויש לשקול חומר ניגוד.</t>
        </is>
      </c>
      <c r="I9" s="47" t="inlineStr">
        <is>
          <t>מאושר</t>
        </is>
      </c>
    </row>
    <row r="10">
      <c r="A10" s="42" t="inlineStr">
        <is>
          <t>CASE-004-FT-006</t>
        </is>
      </c>
      <c r="B10" s="59" t="inlineStr">
        <is>
          <t>FT-006</t>
        </is>
      </c>
      <c r="C10" s="59" t="inlineStr">
        <is>
          <t>CT חזה או אאורטה</t>
        </is>
      </c>
      <c r="D10" s="162" t="inlineStr">
        <is>
          <t>CT חזה לאחר ייצוב אם יידרש: לב מוגדל, גודש ריאתי ותפליטים קטנים, ללא ממצא חלופי משמעותי.</t>
        </is>
      </c>
      <c r="E10" s="62" t="inlineStr">
        <is>
          <t>לא מיידי</t>
        </is>
      </c>
      <c r="F10" s="162" t="inlineStr">
        <is>
          <t>אינו מוסיף מידע משמעותי מעבר לצילום החזה ולאקו במקרה הזה.</t>
        </is>
      </c>
      <c r="G10" s="162" t="inlineStr">
        <is>
          <t>בדרך כלל לא מרכזי</t>
        </is>
      </c>
      <c r="H10" s="162" t="inlineStr">
        <is>
          <t>לא נדרשת קרינה וחומר ניגוד ללא חשד ממוקד למחלה חלופית.</t>
        </is>
      </c>
      <c r="I10" s="47" t="inlineStr">
        <is>
          <t>מאושר</t>
        </is>
      </c>
    </row>
    <row r="11">
      <c r="A11" s="42" t="inlineStr">
        <is>
          <t>CASE-004-FT-007</t>
        </is>
      </c>
      <c r="B11" s="59" t="inlineStr">
        <is>
          <t>FT-007</t>
        </is>
      </c>
      <c r="C11" s="59" t="inlineStr">
        <is>
          <t>MRI לב</t>
        </is>
      </c>
      <c r="D11" s="162" t="inlineStr">
        <is>
          <t>MRI לב לאחר ייצוב: צלקת קדמית בשריר הלב המתאימה לאוטם ישן, ותפקוד התכווצות ירוד של חדר שמאל.</t>
        </is>
      </c>
      <c r="E11" s="62" t="inlineStr">
        <is>
          <t>לא מיידי</t>
        </is>
      </c>
      <c r="F11" s="162" t="inlineStr">
        <is>
          <t>יכול לתאר נזק וצלקת, אך אינו מחליף אקו בבירור הראשוני.</t>
        </is>
      </c>
      <c r="G11" s="162" t="inlineStr">
        <is>
          <t>משלים</t>
        </is>
      </c>
      <c r="H11" s="162" t="inlineStr">
        <is>
          <t>בדיקה מתקדמת למצבים נבחרים, לא דחופה בשלב הנוכחי.</t>
        </is>
      </c>
      <c r="I11" s="47" t="inlineStr">
        <is>
          <t>מאושר</t>
        </is>
      </c>
    </row>
    <row r="12">
      <c r="A12" s="42" t="inlineStr">
        <is>
          <t>CASE-004-FT-008</t>
        </is>
      </c>
      <c r="B12" s="59" t="inlineStr">
        <is>
          <t>FT-008</t>
        </is>
      </c>
      <c r="C12" s="59" t="inlineStr">
        <is>
          <t>אנגיוגרפיה כלילית בצנתור אבחנתי</t>
        </is>
      </c>
      <c r="D12" s="162" t="inlineStr">
        <is>
          <t>צנתור אבחנתי אם יוחלט עליו לאחר ייצוב: תומכן כלילי מהאוטם הישן פתוח; טרשת והיצרויות קלות עד בינוניות ללא חסימה משמעותית חדשה.</t>
        </is>
      </c>
      <c r="E12" s="62" t="inlineStr">
        <is>
          <t>לא מיידי</t>
        </is>
      </c>
      <c r="F12" s="162" t="inlineStr">
        <is>
          <t>תומך במחלה כלילית ישנה, ללא צורך ברור בצנתור טיפולי מיידי לפי הממצאים המדומים.</t>
        </is>
      </c>
      <c r="G12" s="162" t="inlineStr">
        <is>
          <t>משלים</t>
        </is>
      </c>
      <c r="H12" s="162" t="inlineStr">
        <is>
          <t>פולשני, ויש לשקול סיכון לחומר ניגוד; אינו נדרש בדחיפות ללא חשד לאירוע כלילי חריף.</t>
        </is>
      </c>
      <c r="I12" s="47" t="inlineStr">
        <is>
          <t>מאושר</t>
        </is>
      </c>
    </row>
    <row r="13">
      <c r="A13" s="44" t="inlineStr">
        <is>
          <t>CASE-004-FT-009</t>
        </is>
      </c>
      <c r="B13" s="60" t="inlineStr">
        <is>
          <t>FT-009</t>
        </is>
      </c>
      <c r="C13" s="60" t="inlineStr">
        <is>
          <t>US בטן או כליות</t>
        </is>
      </c>
      <c r="D13" s="164" t="inlineStr">
        <is>
          <t>US בטן/כליות אם מבוצע: גודש ורידי כבדי קל, מבנה כליות שמור, ללא חסימת דרכי שתן.</t>
        </is>
      </c>
      <c r="E13" s="63" t="inlineStr">
        <is>
          <t>לא מיידי</t>
        </is>
      </c>
      <c r="F13" s="164" t="inlineStr">
        <is>
          <t>יכול לסייע בבירור פגיעה כלייתית או גודש כבדי, אך אינו מאבחן אי־ספיקת לב.</t>
        </is>
      </c>
      <c r="G13" s="164" t="inlineStr">
        <is>
          <t>משלים</t>
        </is>
      </c>
      <c r="H13" s="164" t="inlineStr">
        <is>
          <t>בדיקת עזר בהתאם לממצאים, אינה קודמת לבירור הלבבי.</t>
        </is>
      </c>
      <c r="I13" s="48" t="inlineStr">
        <is>
          <t>מאושר</t>
        </is>
      </c>
    </row>
  </sheetData>
  <mergeCells count="2">
    <mergeCell ref="A1:I1"/>
    <mergeCell ref="A2:I2"/>
  </mergeCells>
  <conditionalFormatting sqref="G5:G13">
    <cfRule type="containsText" priority="1" operator="containsText" dxfId="0" text="חיוני במקרה"/>
    <cfRule type="containsText" priority="2" operator="containsText" dxfId="1" text="חשוב"/>
    <cfRule type="containsText" priority="3" operator="containsText" dxfId="2" text="משלים"/>
    <cfRule type="containsText" priority="4" operator="containsText" dxfId="3" text="בדרך כלל לא מרכזי"/>
  </conditionalFormatting>
  <dataValidations count="1">
    <dataValidation sqref="G5:G13" showDropDown="0" showInputMessage="0" showErrorMessage="0" allowBlank="0" type="list">
      <formula1>"חיוני במקרה,חשוב,משלים,בדרך כלל לא מרכזי"</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12.22000026702881" customWidth="1" min="1" max="1"/>
    <col width="17.78000068664551" customWidth="1" min="2" max="2"/>
    <col width="35.56000137329102" customWidth="1" min="3" max="3"/>
    <col width="21.11000061035156" customWidth="1" min="4" max="4"/>
    <col width="57.77999877929688" customWidth="1" min="5" max="5"/>
  </cols>
  <sheetData>
    <row r="1" ht="30" customHeight="1">
      <c r="A1" s="4" t="inlineStr">
        <is>
          <t>תבנית החלטות וטיפול</t>
        </is>
      </c>
    </row>
    <row r="2" ht="34" customHeight="1">
      <c r="A2" s="9" t="inlineStr">
        <is>
          <t>אפשר להוסיף שורות, אך יש לשמור על מזהים ייחודיים ועל מבנה העמודות.</t>
        </is>
      </c>
    </row>
    <row r="3"/>
    <row r="4" ht="36" customHeight="1">
      <c r="A4" s="20" t="inlineStr">
        <is>
          <t>מזהה</t>
        </is>
      </c>
      <c r="B4" s="20" t="inlineStr">
        <is>
          <t>שלב</t>
        </is>
      </c>
      <c r="C4" s="20" t="inlineStr">
        <is>
          <t>פעולה או אפשרות</t>
        </is>
      </c>
      <c r="D4" s="20" t="inlineStr">
        <is>
          <t>מעמד במקרה</t>
        </is>
      </c>
      <c r="E4" s="20" t="inlineStr">
        <is>
          <t>היגיון צפוי</t>
        </is>
      </c>
    </row>
    <row r="5">
      <c r="A5" s="64" t="inlineStr">
        <is>
          <t>DEC-001</t>
        </is>
      </c>
      <c r="B5" s="61" t="inlineStr">
        <is>
          <t>אבחנה מבדלת</t>
        </is>
      </c>
      <c r="C5" s="160" t="inlineStr">
        <is>
          <t>אי־ספיקת לב דו־צדדית עם החמרה חריפה ואבחון ראשון של HFrEF</t>
        </is>
      </c>
      <c r="D5" s="160" t="inlineStr">
        <is>
          <t>אבחנה מובילה</t>
        </is>
      </c>
      <c r="E5" s="165" t="inlineStr">
        <is>
          <t>גודש ריאתי וגודש מערכתי, EF 32%, פגיעה בתפקוד החדרים ורקע של אוטם קודם.</t>
        </is>
      </c>
    </row>
    <row r="6">
      <c r="A6" s="65" t="inlineStr">
        <is>
          <t>DEC-002</t>
        </is>
      </c>
      <c r="B6" s="62" t="inlineStr">
        <is>
          <t>אבחנה מבדלת</t>
        </is>
      </c>
      <c r="C6" s="161" t="inlineStr">
        <is>
          <t>דלקת ריאות, החמרת COPD או תסמונת כלילית חריפה — כאבחנות מבדלות לקוצר נשימה</t>
        </is>
      </c>
      <c r="D6" s="161" t="inlineStr">
        <is>
          <t>חלופה סבירה פחות</t>
        </is>
      </c>
      <c r="E6" s="158" t="inlineStr">
        <is>
          <t>היעדר חום/תסנין ממוקד/צפצופים בולטים ובלי שינויי ST חריפים; עדיין בודקים תלונות וטרופונין לפי הצורך.</t>
        </is>
      </c>
    </row>
    <row r="7">
      <c r="A7" s="65" t="inlineStr">
        <is>
          <t>SAFE-001</t>
        </is>
      </c>
      <c r="B7" s="62" t="inlineStr">
        <is>
          <t>החלטה או בטיחות</t>
        </is>
      </c>
      <c r="C7" s="161" t="inlineStr">
        <is>
          <t>הערכה דחופה ואשפוז; ניטור סטורציה, נשימות, דופק ולחץ דם, הערכת זילוח ומתן חמצן לפי צורך בהיפוקסמיה</t>
        </is>
      </c>
      <c r="D7" s="161" t="inlineStr">
        <is>
          <t>חיוני במקרה</t>
        </is>
      </c>
      <c r="E7" s="158" t="inlineStr">
        <is>
          <t>סטורציה 90%, נשימה מהירה וגודש מחייבים טיפול וניטור, גם בהיעדר הלם.</t>
        </is>
      </c>
    </row>
    <row r="8">
      <c r="A8" s="65" t="inlineStr">
        <is>
          <t>TRT-001</t>
        </is>
      </c>
      <c r="B8" s="62" t="inlineStr">
        <is>
          <t>טיפול</t>
        </is>
      </c>
      <c r="C8" s="161" t="inlineStr">
        <is>
          <t>טיפול בגודש במשתנים לפי ההערכה הקלינית; לאחר התייצבות המשך/התאמה של מעכב ACE וחוסם בטא בהתאם ללחץ דם ותפקוד כליות, לצד טיפול בגורמי סיכון</t>
        </is>
      </c>
      <c r="D8" s="161" t="inlineStr">
        <is>
          <t>חיוני במקרה</t>
        </is>
      </c>
      <c r="E8" s="158" t="inlineStr">
        <is>
          <t>להקל על עומס הנוזלים תחילה; לא להתחיל או להגביר חוסם בטא בזמן חוסר יציבות או גודש חריף משמעותי.</t>
        </is>
      </c>
    </row>
    <row r="9">
      <c r="A9" s="66" t="inlineStr">
        <is>
          <t>FU-001</t>
        </is>
      </c>
      <c r="B9" s="63" t="inlineStr">
        <is>
          <t>מעקב</t>
        </is>
      </c>
      <c r="C9" s="163" t="inlineStr">
        <is>
          <t>מעקב משקל, בצקות, קוצר נשימה, לחץ דם, כליות ואלקטרוליטים, היענות לטיפול, הפחתת מלח, הפסקת עישון ומעקב קרדיולוגי</t>
        </is>
      </c>
      <c r="D9" s="163" t="inlineStr">
        <is>
          <t>חשוב</t>
        </is>
      </c>
      <c r="E9" s="166" t="inlineStr">
        <is>
          <t>מעקב והתמדה בטיפול חשובים למניעת החמרות חוזרות. דיגוקסין והשתלה אינם בחירות שגרתיות בשלב זה.</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31"/>
  <sheetViews>
    <sheetView showGridLines="0" workbookViewId="0">
      <selection activeCell="A1" sqref="A1"/>
    </sheetView>
  </sheetViews>
  <sheetFormatPr baseColWidth="8" defaultRowHeight="15"/>
  <cols>
    <col width="12.22000026702881" customWidth="1" min="1" max="1"/>
    <col width="17.78000068664551" customWidth="1" min="2" max="2"/>
    <col width="24.44000053405762" customWidth="1" min="3" max="3"/>
    <col width="72.22000122070312" customWidth="1" min="4" max="4"/>
  </cols>
  <sheetData>
    <row r="1" ht="30" customHeight="1">
      <c r="A1" s="4" t="inlineStr">
        <is>
          <t>תבנית כללי משוב ושיחה</t>
        </is>
      </c>
    </row>
    <row r="2" ht="34" customHeight="1">
      <c r="A2" s="9" t="inlineStr">
        <is>
          <t>המשוב איכותני ומבוסס תוכן קליני, מידתיות ותקשורת.</t>
        </is>
      </c>
    </row>
    <row r="3"/>
    <row r="4" ht="36" customHeight="1">
      <c r="A4" s="20" t="inlineStr">
        <is>
          <t>מזהה</t>
        </is>
      </c>
      <c r="B4" s="20" t="inlineStr">
        <is>
          <t>תחום</t>
        </is>
      </c>
      <c r="C4" s="20" t="inlineStr">
        <is>
          <t>סוג כלל</t>
        </is>
      </c>
      <c r="D4" s="20" t="inlineStr">
        <is>
          <t>הנחיה למערכת</t>
        </is>
      </c>
    </row>
    <row r="5">
      <c r="A5" s="64" t="inlineStr">
        <is>
          <t>FB-001</t>
        </is>
      </c>
      <c r="B5" s="61" t="inlineStr">
        <is>
          <t>אנמנזה</t>
        </is>
      </c>
      <c r="C5" s="61" t="inlineStr">
        <is>
          <t>מה נעשה היטב</t>
        </is>
      </c>
      <c r="D5" s="165" t="inlineStr">
        <is>
          <t>לשבח בירור של קוצר נשימה בשכיבה ושל מספר הכריות: אלה רמזים מרכזיים לגודש ריאתי.</t>
        </is>
      </c>
    </row>
    <row r="6">
      <c r="A6" s="65" t="inlineStr">
        <is>
          <t>FB-002</t>
        </is>
      </c>
      <c r="B6" s="62" t="inlineStr">
        <is>
          <t>אנמנזה</t>
        </is>
      </c>
      <c r="C6" s="62" t="inlineStr">
        <is>
          <t>לשקול בשנית האם היה חשוב</t>
        </is>
      </c>
      <c r="D6" s="158" t="inlineStr">
        <is>
          <t>לא כל פרט משפחתי או תעסוקתי חיוני לאבחנה המיידית; חשוב לשאול באופן ממוקד בלי לזלזל במטופל.</t>
        </is>
      </c>
    </row>
    <row r="7">
      <c r="A7" s="65" t="inlineStr">
        <is>
          <t>FB-003</t>
        </is>
      </c>
      <c r="B7" s="62" t="inlineStr">
        <is>
          <t>אנמנזה</t>
        </is>
      </c>
      <c r="C7" s="62" t="inlineStr">
        <is>
          <t>דברים שחשוב היה שתחשבו עליהם</t>
        </is>
      </c>
      <c r="D7" s="158" t="inlineStr">
        <is>
          <t>לשאול האם הוא מתעורר בלילה בתחושת מחנק, ואם הקלה מתרחשת בישיבה.</t>
        </is>
      </c>
    </row>
    <row r="8">
      <c r="A8" s="65" t="inlineStr">
        <is>
          <t>FB-004</t>
        </is>
      </c>
      <c r="B8" s="62" t="inlineStr">
        <is>
          <t>בדיקה גופנית</t>
        </is>
      </c>
      <c r="C8" s="62" t="inlineStr">
        <is>
          <t>מה נעשה היטב</t>
        </is>
      </c>
      <c r="D8" s="158" t="inlineStr">
        <is>
          <t>לשבח בירור על בצקות ברגליים, נפיחות בטנית ועלייה במשקל כעדות לגודש מערכתי.</t>
        </is>
      </c>
    </row>
    <row r="9">
      <c r="A9" s="65" t="inlineStr">
        <is>
          <t>FB-005</t>
        </is>
      </c>
      <c r="B9" s="62" t="inlineStr">
        <is>
          <t>בדיקה גופנית</t>
        </is>
      </c>
      <c r="C9" s="62" t="inlineStr">
        <is>
          <t>לשקול בשנית האם היה חשוב</t>
        </is>
      </c>
      <c r="D9" s="158" t="inlineStr">
        <is>
          <t>אין לייחס את הבצקות רק לדליות שטחיות; לבדוק גם גודש ורידי צוואר וכבד.</t>
        </is>
      </c>
    </row>
    <row r="10">
      <c r="A10" s="65" t="inlineStr">
        <is>
          <t>FB-006</t>
        </is>
      </c>
      <c r="B10" s="62" t="inlineStr">
        <is>
          <t>בדיקה גופנית</t>
        </is>
      </c>
      <c r="C10" s="62" t="inlineStr">
        <is>
          <t>דברים שחשוב היה שתחשבו עליהם</t>
        </is>
      </c>
      <c r="D10" s="158" t="inlineStr">
        <is>
          <t>לחבר בין חרחורים בריאות לבין פגיעה בתפקוד חדר שמאל ובין בצקות לבין פגיעה בצד הימני.</t>
        </is>
      </c>
    </row>
    <row r="11">
      <c r="A11" s="65" t="inlineStr">
        <is>
          <t>FB-007</t>
        </is>
      </c>
      <c r="B11" s="62" t="inlineStr">
        <is>
          <t>בדיקות מיידיות</t>
        </is>
      </c>
      <c r="C11" s="62" t="inlineStr">
        <is>
          <t>מה נעשה היטב</t>
        </is>
      </c>
      <c r="D11" s="158" t="inlineStr">
        <is>
          <t>לשבח זיהוי אוטם קודם וצנתור עם תומכן כגורם אפשרי לנזק כרוני בשריר הלב.</t>
        </is>
      </c>
    </row>
    <row r="12">
      <c r="A12" s="65" t="inlineStr">
        <is>
          <t>FB-008</t>
        </is>
      </c>
      <c r="B12" s="62" t="inlineStr">
        <is>
          <t>בדיקות מיידיות</t>
        </is>
      </c>
      <c r="C12" s="62" t="inlineStr">
        <is>
          <t>לשקול בשנית האם היה חשוב</t>
        </is>
      </c>
      <c r="D12" s="158" t="inlineStr">
        <is>
          <t>אין להסיק שאי־נטילת אספירין כשלעצמה גורמת במישרין להצטברות הנוזלים.</t>
        </is>
      </c>
    </row>
    <row r="13">
      <c r="A13" s="65" t="inlineStr">
        <is>
          <t>FB-009</t>
        </is>
      </c>
      <c r="B13" s="62" t="inlineStr">
        <is>
          <t>בדיקות מיידיות</t>
        </is>
      </c>
      <c r="C13" s="62" t="inlineStr">
        <is>
          <t>דברים שחשוב היה שתחשבו עליהם</t>
        </is>
      </c>
      <c r="D13" s="158" t="inlineStr">
        <is>
          <t>לברר אילו תרופות המטופל אכן נוטל בפועל, ולא רק מה רשום לו.</t>
        </is>
      </c>
    </row>
    <row r="14">
      <c r="A14" s="65" t="inlineStr">
        <is>
          <t>FB-010</t>
        </is>
      </c>
      <c r="B14" s="62" t="inlineStr">
        <is>
          <t>בדיקות המשך</t>
        </is>
      </c>
      <c r="C14" s="62" t="inlineStr">
        <is>
          <t>מה נעשה היטב</t>
        </is>
      </c>
      <c r="D14" s="158" t="inlineStr">
        <is>
          <t>לשבח בקשת מדדים חיוניים, בעיקר סטורציה, נשימות, דופק ולחץ דם.</t>
        </is>
      </c>
    </row>
    <row r="15">
      <c r="A15" s="65" t="inlineStr">
        <is>
          <t>FB-011</t>
        </is>
      </c>
      <c r="B15" s="62" t="inlineStr">
        <is>
          <t>בדיקות המשך</t>
        </is>
      </c>
      <c r="C15" s="62" t="inlineStr">
        <is>
          <t>לשקול בשנית האם היה חשוב</t>
        </is>
      </c>
      <c r="D15" s="158" t="inlineStr">
        <is>
          <t>אין להתעלם מסטורציה 90% ומקוצר נשימה משמעותי, גם כשאין כאב בחזה.</t>
        </is>
      </c>
    </row>
    <row r="16">
      <c r="A16" s="65" t="inlineStr">
        <is>
          <t>FB-012</t>
        </is>
      </c>
      <c r="B16" s="62" t="inlineStr">
        <is>
          <t>בדיקות המשך</t>
        </is>
      </c>
      <c r="C16" s="62" t="inlineStr">
        <is>
          <t>דברים שחשוב היה שתחשבו עליהם</t>
        </is>
      </c>
      <c r="D16" s="158" t="inlineStr">
        <is>
          <t>לחשוב על הערכה דחופה, אשפוז, ניטור וטיפול בגודש, תוך הערכת מצב ההכרה והזילוח.</t>
        </is>
      </c>
    </row>
    <row r="17">
      <c r="A17" s="65" t="inlineStr">
        <is>
          <t>FB-013</t>
        </is>
      </c>
      <c r="B17" s="62" t="inlineStr">
        <is>
          <t>אבחנה, טיפול והחלטה</t>
        </is>
      </c>
      <c r="C17" s="62" t="inlineStr">
        <is>
          <t>מה נעשה היטב</t>
        </is>
      </c>
      <c r="D17" s="158" t="inlineStr">
        <is>
          <t>לשבח בקשת צילום חזה ואק״ג להערכת גודש ולבדיקת אירוע כלילי חדש.</t>
        </is>
      </c>
    </row>
    <row r="18">
      <c r="A18" s="65" t="inlineStr">
        <is>
          <t>FB-014</t>
        </is>
      </c>
      <c r="B18" s="62" t="inlineStr">
        <is>
          <t>אבחנה, טיפול והחלטה</t>
        </is>
      </c>
      <c r="C18" s="62" t="inlineStr">
        <is>
          <t>לשקול בשנית האם היה חשוב</t>
        </is>
      </c>
      <c r="D18" s="158" t="inlineStr">
        <is>
          <t>ארגומטריה בזמן החמרה חריפה אינה בחירה בטוחה; אין לפרש מבחן מאמץ מוקדם כשלילת איסכמיה.</t>
        </is>
      </c>
    </row>
    <row r="19">
      <c r="A19" s="65" t="inlineStr">
        <is>
          <t>FB-015</t>
        </is>
      </c>
      <c r="B19" s="62" t="inlineStr">
        <is>
          <t>אבחנה, טיפול והחלטה</t>
        </is>
      </c>
      <c r="C19" s="62" t="inlineStr">
        <is>
          <t>דברים שחשוב היה שתחשבו עליהם</t>
        </is>
      </c>
      <c r="D19" s="158" t="inlineStr">
        <is>
          <t>אקו לב הוא הבדיקה העיקרית להערכת תפקוד החדרים ו-EF; אין להתחיל בצנתור ללא שאלה מתאימה.</t>
        </is>
      </c>
    </row>
    <row r="20">
      <c r="A20" s="65" t="inlineStr">
        <is>
          <t>FB-016</t>
        </is>
      </c>
      <c r="B20" s="62" t="inlineStr">
        <is>
          <t>רשומה רפואית</t>
        </is>
      </c>
      <c r="C20" s="62" t="inlineStr">
        <is>
          <t>מה נעשה היטב</t>
        </is>
      </c>
      <c r="D20" s="158" t="inlineStr">
        <is>
          <t>לשבח חיבור EF 32% לתפקוד התכווצות ירוד ולהכרה באי־ספיקת לב דו־צדדית.</t>
        </is>
      </c>
    </row>
    <row r="21">
      <c r="A21" s="65" t="inlineStr">
        <is>
          <t>FB-017</t>
        </is>
      </c>
      <c r="B21" s="62" t="inlineStr">
        <is>
          <t>רשומה רפואית</t>
        </is>
      </c>
      <c r="C21" s="62" t="inlineStr">
        <is>
          <t>לשקול בשנית האם היה חשוב</t>
        </is>
      </c>
      <c r="D21" s="158" t="inlineStr">
        <is>
          <t>מיפוי לב לאחר התייצבות יכול לאפיין נזק איסכמי ישן, אך אינו תחליף לאקו בשלב החריף.</t>
        </is>
      </c>
    </row>
    <row r="22">
      <c r="A22" s="65" t="inlineStr">
        <is>
          <t>FB-018</t>
        </is>
      </c>
      <c r="B22" s="62" t="inlineStr">
        <is>
          <t>רשומה רפואית</t>
        </is>
      </c>
      <c r="C22" s="62" t="inlineStr">
        <is>
          <t>דברים שחשוב היה שתחשבו עליהם</t>
        </is>
      </c>
      <c r="D22" s="158" t="inlineStr">
        <is>
          <t>אין צורך לצפות מהתלמיד להכיר BNP, S3 או שמות אנזימי כבד כגון AST/ALT במקרה זה.</t>
        </is>
      </c>
    </row>
    <row r="23">
      <c r="A23" s="65" t="inlineStr">
        <is>
          <t>FB-019</t>
        </is>
      </c>
      <c r="B23" s="62" t="inlineStr">
        <is>
          <t>הסבר למטופל</t>
        </is>
      </c>
      <c r="C23" s="62" t="inlineStr">
        <is>
          <t>מה נעשה היטב</t>
        </is>
      </c>
      <c r="D23" s="158" t="inlineStr">
        <is>
          <t>לשאול על מחלת ריאות, זיהום ואוטם חדש כאפשרויות אחרות לקוצר נשימה, ולהשתמש בנתונים להעריך אותן.</t>
        </is>
      </c>
    </row>
    <row r="24">
      <c r="A24" s="65" t="inlineStr">
        <is>
          <t>FB-020</t>
        </is>
      </c>
      <c r="B24" s="62" t="inlineStr">
        <is>
          <t>הסבר למטופל</t>
        </is>
      </c>
      <c r="C24" s="62" t="inlineStr">
        <is>
          <t>לשקול בשנית האם היה חשוב</t>
        </is>
      </c>
      <c r="D24" s="158" t="inlineStr">
        <is>
          <t>לשבח הצעת משתנים להפחתת גודש, מעקב לחץ דם, שתן, משקל, אלקטרוליטים ותפקוד כליות.</t>
        </is>
      </c>
    </row>
    <row r="25">
      <c r="A25" s="65" t="inlineStr">
        <is>
          <t>FB-021</t>
        </is>
      </c>
      <c r="B25" s="62" t="inlineStr">
        <is>
          <t>הסבר למטופל</t>
        </is>
      </c>
      <c r="C25" s="62" t="inlineStr">
        <is>
          <t>דברים שחשוב היה שתחשבו עליהם</t>
        </is>
      </c>
      <c r="D25" s="158" t="inlineStr">
        <is>
          <t>להדגיש טיפול בגורמי סיכון, היענות לתרופות, הפחתת מלח, הפסקת עישון ומעקב קרדיולוגי לאחר השחרור.</t>
        </is>
      </c>
    </row>
    <row r="26">
      <c r="A26" s="65" t="inlineStr">
        <is>
          <t>FB-022</t>
        </is>
      </c>
      <c r="B26" s="62" t="inlineStr">
        <is>
          <t>כללי</t>
        </is>
      </c>
      <c r="C26" s="62" t="inlineStr">
        <is>
          <t>היקף</t>
        </is>
      </c>
      <c r="D26" s="47" t="inlineStr">
        <is>
          <t>3–5 נקודות משמעותיות בכל תחום; אין חובה להציג כותרת שאין תחתיה תוכן.</t>
        </is>
      </c>
    </row>
    <row r="27">
      <c r="A27" s="65" t="inlineStr">
        <is>
          <t>FB-023</t>
        </is>
      </c>
      <c r="B27" s="62" t="inlineStr">
        <is>
          <t>כללי</t>
        </is>
      </c>
      <c r="C27" s="62" t="inlineStr">
        <is>
          <t>אופן הערכה</t>
        </is>
      </c>
      <c r="D27" s="47" t="inlineStr">
        <is>
          <t>ללא ניקוד או רשימת מכולת; להעריך תוכן קליני ולא רהיטות.</t>
        </is>
      </c>
    </row>
    <row r="28">
      <c r="A28" s="65" t="inlineStr">
        <is>
          <t>DIA-001</t>
        </is>
      </c>
      <c r="B28" s="62" t="inlineStr">
        <is>
          <t>שיחה</t>
        </is>
      </c>
      <c r="C28" s="62" t="inlineStr">
        <is>
          <t>שאלה ברורה</t>
        </is>
      </c>
      <c r="D28" s="47" t="inlineStr">
        <is>
          <t>לזהות את הכוונה, לסמן פנימית אילו רכיבי בסיס כוסו ולהחזיר רק את ערכי התיק.</t>
        </is>
      </c>
    </row>
    <row r="29">
      <c r="A29" s="65" t="inlineStr">
        <is>
          <t>DIA-002</t>
        </is>
      </c>
      <c r="B29" s="62" t="inlineStr">
        <is>
          <t>שיחה</t>
        </is>
      </c>
      <c r="C29" s="62" t="inlineStr">
        <is>
          <t>שאלה עמומה</t>
        </is>
      </c>
      <c r="D29" s="47" t="inlineStr">
        <is>
          <t>לבקש הבהרה קצרה וטבעית בלי לרמוז מה כדאי לשאול.</t>
        </is>
      </c>
    </row>
    <row r="30">
      <c r="A30" s="65" t="inlineStr">
        <is>
          <t>DIA-003</t>
        </is>
      </c>
      <c r="B30" s="62" t="inlineStr">
        <is>
          <t>שיחה</t>
        </is>
      </c>
      <c r="C30" s="62" t="inlineStr">
        <is>
          <t>שאלה מחוץ לתיק</t>
        </is>
      </c>
      <c r="D30" s="47" t="inlineStr">
        <is>
          <t>להשיב באופן אנושי וניטרלי, למשל שאינו יודע או אינו זוכר; אין להמציא.</t>
        </is>
      </c>
    </row>
    <row r="31">
      <c r="A31" s="66" t="inlineStr">
        <is>
          <t>DIA-004</t>
        </is>
      </c>
      <c r="B31" s="63" t="inlineStr">
        <is>
          <t>שיחה</t>
        </is>
      </c>
      <c r="C31" s="63" t="inlineStr">
        <is>
          <t>שאלה רחוקה קלינית</t>
        </is>
      </c>
      <c r="D31" s="48" t="inlineStr">
        <is>
          <t>אפשר לבקש מן התלמיד להסביר מדוע היא חשובה לפני מענה נוסף.</t>
        </is>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93"/>
  <sheetViews>
    <sheetView showGridLines="0" workbookViewId="0">
      <selection activeCell="A1" sqref="A1"/>
    </sheetView>
  </sheetViews>
  <sheetFormatPr baseColWidth="8" defaultRowHeight="15"/>
  <cols>
    <col width="17.21999931335449" customWidth="1" min="1" max="1"/>
    <col width="10.5600004196167" customWidth="1" min="2" max="2"/>
    <col width="10" customWidth="1" min="3" max="3"/>
    <col width="17.21999931335449" customWidth="1" min="4" max="4"/>
    <col width="10.5600004196167" customWidth="1" min="5" max="5"/>
    <col width="10" customWidth="1" min="6" max="6"/>
    <col width="17.21999931335449" customWidth="1" min="7" max="7"/>
    <col width="10.5600004196167" customWidth="1" min="8" max="8"/>
    <col width="10" customWidth="1" min="9" max="9"/>
    <col width="17.21999931335449" customWidth="1" min="10" max="10"/>
    <col width="10.5600004196167" customWidth="1" min="11" max="11"/>
    <col width="10" customWidth="1" min="12" max="12"/>
  </cols>
  <sheetData>
    <row r="1" ht="30" customHeight="1">
      <c r="A1" s="4" t="inlineStr">
        <is>
          <t>מילון מזהי הבסיס לבקרת איכות</t>
        </is>
      </c>
    </row>
    <row r="2" ht="34" customHeight="1">
      <c r="A2" s="9" t="inlineStr">
        <is>
          <t>גיליון עזר שנבנה ממסד הידע הכללי. כל מזהה נספר מול תיק המטופל בנוסחה נפרדת; אין לערוך גיליון זה.</t>
        </is>
      </c>
    </row>
    <row r="4" ht="36" customHeight="1">
      <c r="A4" s="68" t="inlineStr">
        <is>
          <t>AN — מזהה צפוי</t>
        </is>
      </c>
      <c r="B4" s="68" t="inlineStr">
        <is>
          <t>מופעים בתיק</t>
        </is>
      </c>
      <c r="C4" s="68" t="inlineStr">
        <is>
          <t>מצב</t>
        </is>
      </c>
      <c r="D4" s="68" t="inlineStr">
        <is>
          <t>PE — מזהה צפוי</t>
        </is>
      </c>
      <c r="E4" s="68" t="inlineStr">
        <is>
          <t>מופעים בתיק</t>
        </is>
      </c>
      <c r="F4" s="68" t="inlineStr">
        <is>
          <t>מצב</t>
        </is>
      </c>
      <c r="G4" s="68" t="inlineStr">
        <is>
          <t>IT — מזהה צפוי</t>
        </is>
      </c>
      <c r="H4" s="68" t="inlineStr">
        <is>
          <t>מופעים בתיק</t>
        </is>
      </c>
      <c r="I4" s="68" t="inlineStr">
        <is>
          <t>מצב</t>
        </is>
      </c>
      <c r="J4" s="68" t="inlineStr">
        <is>
          <t>FT — מזהה צפוי</t>
        </is>
      </c>
      <c r="K4" s="68" t="inlineStr">
        <is>
          <t>מופעים בתיק</t>
        </is>
      </c>
      <c r="L4" s="68" t="inlineStr">
        <is>
          <t>מצב</t>
        </is>
      </c>
    </row>
    <row r="5">
      <c r="A5" s="69" t="inlineStr">
        <is>
          <t>AN-001</t>
        </is>
      </c>
      <c r="B5" s="70">
        <f>COUNTIF('אנמנזה'!$B$5:$B$93,A5)</f>
        <v/>
      </c>
      <c r="C5" s="70">
        <f>IF(B5=1,"תקין",IF(B5=0,"חסר","כפול"))</f>
        <v/>
      </c>
      <c r="D5" s="70" t="inlineStr">
        <is>
          <t>PE-001</t>
        </is>
      </c>
      <c r="E5" s="70">
        <f>COUNTIF('בדיקה_גופנית'!$B$5:$B$49,D5)</f>
        <v/>
      </c>
      <c r="F5" s="70">
        <f>IF(E5=1,"תקין",IF(E5=0,"חסר","כפול"))</f>
        <v/>
      </c>
      <c r="G5" s="70" t="inlineStr">
        <is>
          <t>IT-001</t>
        </is>
      </c>
      <c r="H5" s="70">
        <f>COUNTIF('בדיקות_מיידיות'!$B$5:$B$37,G5)</f>
        <v/>
      </c>
      <c r="I5" s="70">
        <f>IF(H5=1,"תקין",IF(H5=0,"חסר","כפול"))</f>
        <v/>
      </c>
      <c r="J5" s="70" t="inlineStr">
        <is>
          <t>FT-001</t>
        </is>
      </c>
      <c r="K5" s="70">
        <f>COUNTIF('בדיקות_המשך'!$B$5:$B$13,J5)</f>
        <v/>
      </c>
      <c r="L5" s="71">
        <f>IF(K5=1,"תקין",IF(K5=0,"חסר","כפול"))</f>
        <v/>
      </c>
    </row>
    <row r="6">
      <c r="A6" s="72" t="inlineStr">
        <is>
          <t>AN-002</t>
        </is>
      </c>
      <c r="B6" s="73">
        <f>COUNTIF('אנמנזה'!$B$5:$B$93,A6)</f>
        <v/>
      </c>
      <c r="C6" s="73">
        <f>IF(B6=1,"תקין",IF(B6=0,"חסר","כפול"))</f>
        <v/>
      </c>
      <c r="D6" s="73" t="inlineStr">
        <is>
          <t>PE-002</t>
        </is>
      </c>
      <c r="E6" s="73">
        <f>COUNTIF('בדיקה_גופנית'!$B$5:$B$49,D6)</f>
        <v/>
      </c>
      <c r="F6" s="73">
        <f>IF(E6=1,"תקין",IF(E6=0,"חסר","כפול"))</f>
        <v/>
      </c>
      <c r="G6" s="73" t="inlineStr">
        <is>
          <t>IT-002</t>
        </is>
      </c>
      <c r="H6" s="73">
        <f>COUNTIF('בדיקות_מיידיות'!$B$5:$B$37,G6)</f>
        <v/>
      </c>
      <c r="I6" s="73">
        <f>IF(H6=1,"תקין",IF(H6=0,"חסר","כפול"))</f>
        <v/>
      </c>
      <c r="J6" s="73" t="inlineStr">
        <is>
          <t>FT-002</t>
        </is>
      </c>
      <c r="K6" s="73">
        <f>COUNTIF('בדיקות_המשך'!$B$5:$B$13,J6)</f>
        <v/>
      </c>
      <c r="L6" s="74">
        <f>IF(K6=1,"תקין",IF(K6=0,"חסר","כפול"))</f>
        <v/>
      </c>
    </row>
    <row r="7">
      <c r="A7" s="72" t="inlineStr">
        <is>
          <t>AN-003</t>
        </is>
      </c>
      <c r="B7" s="73">
        <f>COUNTIF('אנמנזה'!$B$5:$B$93,A7)</f>
        <v/>
      </c>
      <c r="C7" s="73">
        <f>IF(B7=1,"תקין",IF(B7=0,"חסר","כפול"))</f>
        <v/>
      </c>
      <c r="D7" s="73" t="inlineStr">
        <is>
          <t>PE-003</t>
        </is>
      </c>
      <c r="E7" s="73">
        <f>COUNTIF('בדיקה_גופנית'!$B$5:$B$49,D7)</f>
        <v/>
      </c>
      <c r="F7" s="73">
        <f>IF(E7=1,"תקין",IF(E7=0,"חסר","כפול"))</f>
        <v/>
      </c>
      <c r="G7" s="73" t="inlineStr">
        <is>
          <t>IT-003</t>
        </is>
      </c>
      <c r="H7" s="73">
        <f>COUNTIF('בדיקות_מיידיות'!$B$5:$B$37,G7)</f>
        <v/>
      </c>
      <c r="I7" s="73">
        <f>IF(H7=1,"תקין",IF(H7=0,"חסר","כפול"))</f>
        <v/>
      </c>
      <c r="J7" s="73" t="inlineStr">
        <is>
          <t>FT-003</t>
        </is>
      </c>
      <c r="K7" s="73">
        <f>COUNTIF('בדיקות_המשך'!$B$5:$B$13,J7)</f>
        <v/>
      </c>
      <c r="L7" s="74">
        <f>IF(K7=1,"תקין",IF(K7=0,"חסר","כפול"))</f>
        <v/>
      </c>
    </row>
    <row r="8">
      <c r="A8" s="72" t="inlineStr">
        <is>
          <t>AN-004</t>
        </is>
      </c>
      <c r="B8" s="73">
        <f>COUNTIF('אנמנזה'!$B$5:$B$93,A8)</f>
        <v/>
      </c>
      <c r="C8" s="73">
        <f>IF(B8=1,"תקין",IF(B8=0,"חסר","כפול"))</f>
        <v/>
      </c>
      <c r="D8" s="73" t="inlineStr">
        <is>
          <t>PE-004</t>
        </is>
      </c>
      <c r="E8" s="73">
        <f>COUNTIF('בדיקה_גופנית'!$B$5:$B$49,D8)</f>
        <v/>
      </c>
      <c r="F8" s="73">
        <f>IF(E8=1,"תקין",IF(E8=0,"חסר","כפול"))</f>
        <v/>
      </c>
      <c r="G8" s="73" t="inlineStr">
        <is>
          <t>IT-004</t>
        </is>
      </c>
      <c r="H8" s="73">
        <f>COUNTIF('בדיקות_מיידיות'!$B$5:$B$37,G8)</f>
        <v/>
      </c>
      <c r="I8" s="73">
        <f>IF(H8=1,"תקין",IF(H8=0,"חסר","כפול"))</f>
        <v/>
      </c>
      <c r="J8" s="73" t="inlineStr">
        <is>
          <t>FT-004</t>
        </is>
      </c>
      <c r="K8" s="73">
        <f>COUNTIF('בדיקות_המשך'!$B$5:$B$13,J8)</f>
        <v/>
      </c>
      <c r="L8" s="74">
        <f>IF(K8=1,"תקין",IF(K8=0,"חסר","כפול"))</f>
        <v/>
      </c>
    </row>
    <row r="9">
      <c r="A9" s="72" t="inlineStr">
        <is>
          <t>AN-005</t>
        </is>
      </c>
      <c r="B9" s="73">
        <f>COUNTIF('אנמנזה'!$B$5:$B$93,A9)</f>
        <v/>
      </c>
      <c r="C9" s="73">
        <f>IF(B9=1,"תקין",IF(B9=0,"חסר","כפול"))</f>
        <v/>
      </c>
      <c r="D9" s="73" t="inlineStr">
        <is>
          <t>PE-005</t>
        </is>
      </c>
      <c r="E9" s="73">
        <f>COUNTIF('בדיקה_גופנית'!$B$5:$B$49,D9)</f>
        <v/>
      </c>
      <c r="F9" s="73">
        <f>IF(E9=1,"תקין",IF(E9=0,"חסר","כפול"))</f>
        <v/>
      </c>
      <c r="G9" s="73" t="inlineStr">
        <is>
          <t>IT-005</t>
        </is>
      </c>
      <c r="H9" s="73">
        <f>COUNTIF('בדיקות_מיידיות'!$B$5:$B$37,G9)</f>
        <v/>
      </c>
      <c r="I9" s="73">
        <f>IF(H9=1,"תקין",IF(H9=0,"חסר","כפול"))</f>
        <v/>
      </c>
      <c r="J9" s="73" t="inlineStr">
        <is>
          <t>FT-005</t>
        </is>
      </c>
      <c r="K9" s="73">
        <f>COUNTIF('בדיקות_המשך'!$B$5:$B$13,J9)</f>
        <v/>
      </c>
      <c r="L9" s="74">
        <f>IF(K9=1,"תקין",IF(K9=0,"חסר","כפול"))</f>
        <v/>
      </c>
    </row>
    <row r="10">
      <c r="A10" s="72" t="inlineStr">
        <is>
          <t>AN-006</t>
        </is>
      </c>
      <c r="B10" s="73">
        <f>COUNTIF('אנמנזה'!$B$5:$B$93,A10)</f>
        <v/>
      </c>
      <c r="C10" s="73">
        <f>IF(B10=1,"תקין",IF(B10=0,"חסר","כפול"))</f>
        <v/>
      </c>
      <c r="D10" s="73" t="inlineStr">
        <is>
          <t>PE-006</t>
        </is>
      </c>
      <c r="E10" s="73">
        <f>COUNTIF('בדיקה_גופנית'!$B$5:$B$49,D10)</f>
        <v/>
      </c>
      <c r="F10" s="73">
        <f>IF(E10=1,"תקין",IF(E10=0,"חסר","כפול"))</f>
        <v/>
      </c>
      <c r="G10" s="73" t="inlineStr">
        <is>
          <t>IT-006</t>
        </is>
      </c>
      <c r="H10" s="73">
        <f>COUNTIF('בדיקות_מיידיות'!$B$5:$B$37,G10)</f>
        <v/>
      </c>
      <c r="I10" s="73">
        <f>IF(H10=1,"תקין",IF(H10=0,"חסר","כפול"))</f>
        <v/>
      </c>
      <c r="J10" s="73" t="inlineStr">
        <is>
          <t>FT-006</t>
        </is>
      </c>
      <c r="K10" s="73">
        <f>COUNTIF('בדיקות_המשך'!$B$5:$B$13,J10)</f>
        <v/>
      </c>
      <c r="L10" s="74">
        <f>IF(K10=1,"תקין",IF(K10=0,"חסר","כפול"))</f>
        <v/>
      </c>
    </row>
    <row r="11">
      <c r="A11" s="72" t="inlineStr">
        <is>
          <t>AN-007</t>
        </is>
      </c>
      <c r="B11" s="73">
        <f>COUNTIF('אנמנזה'!$B$5:$B$93,A11)</f>
        <v/>
      </c>
      <c r="C11" s="73">
        <f>IF(B11=1,"תקין",IF(B11=0,"חסר","כפול"))</f>
        <v/>
      </c>
      <c r="D11" s="73" t="inlineStr">
        <is>
          <t>PE-007</t>
        </is>
      </c>
      <c r="E11" s="73">
        <f>COUNTIF('בדיקה_גופנית'!$B$5:$B$49,D11)</f>
        <v/>
      </c>
      <c r="F11" s="73">
        <f>IF(E11=1,"תקין",IF(E11=0,"חסר","כפול"))</f>
        <v/>
      </c>
      <c r="G11" s="73" t="inlineStr">
        <is>
          <t>IT-007</t>
        </is>
      </c>
      <c r="H11" s="73">
        <f>COUNTIF('בדיקות_מיידיות'!$B$5:$B$37,G11)</f>
        <v/>
      </c>
      <c r="I11" s="73">
        <f>IF(H11=1,"תקין",IF(H11=0,"חסר","כפול"))</f>
        <v/>
      </c>
      <c r="J11" s="73" t="inlineStr">
        <is>
          <t>FT-007</t>
        </is>
      </c>
      <c r="K11" s="73">
        <f>COUNTIF('בדיקות_המשך'!$B$5:$B$13,J11)</f>
        <v/>
      </c>
      <c r="L11" s="74">
        <f>IF(K11=1,"תקין",IF(K11=0,"חסר","כפול"))</f>
        <v/>
      </c>
    </row>
    <row r="12">
      <c r="A12" s="72" t="inlineStr">
        <is>
          <t>AN-008</t>
        </is>
      </c>
      <c r="B12" s="73">
        <f>COUNTIF('אנמנזה'!$B$5:$B$93,A12)</f>
        <v/>
      </c>
      <c r="C12" s="73">
        <f>IF(B12=1,"תקין",IF(B12=0,"חסר","כפול"))</f>
        <v/>
      </c>
      <c r="D12" s="73" t="inlineStr">
        <is>
          <t>PE-008</t>
        </is>
      </c>
      <c r="E12" s="73">
        <f>COUNTIF('בדיקה_גופנית'!$B$5:$B$49,D12)</f>
        <v/>
      </c>
      <c r="F12" s="73">
        <f>IF(E12=1,"תקין",IF(E12=0,"חסר","כפול"))</f>
        <v/>
      </c>
      <c r="G12" s="73" t="inlineStr">
        <is>
          <t>IT-008</t>
        </is>
      </c>
      <c r="H12" s="73">
        <f>COUNTIF('בדיקות_מיידיות'!$B$5:$B$37,G12)</f>
        <v/>
      </c>
      <c r="I12" s="73">
        <f>IF(H12=1,"תקין",IF(H12=0,"חסר","כפול"))</f>
        <v/>
      </c>
      <c r="J12" s="73" t="inlineStr">
        <is>
          <t>FT-008</t>
        </is>
      </c>
      <c r="K12" s="73">
        <f>COUNTIF('בדיקות_המשך'!$B$5:$B$13,J12)</f>
        <v/>
      </c>
      <c r="L12" s="74">
        <f>IF(K12=1,"תקין",IF(K12=0,"חסר","כפול"))</f>
        <v/>
      </c>
    </row>
    <row r="13">
      <c r="A13" s="72" t="inlineStr">
        <is>
          <t>AN-009</t>
        </is>
      </c>
      <c r="B13" s="73">
        <f>COUNTIF('אנמנזה'!$B$5:$B$93,A13)</f>
        <v/>
      </c>
      <c r="C13" s="73">
        <f>IF(B13=1,"תקין",IF(B13=0,"חסר","כפול"))</f>
        <v/>
      </c>
      <c r="D13" s="73" t="inlineStr">
        <is>
          <t>PE-009</t>
        </is>
      </c>
      <c r="E13" s="73">
        <f>COUNTIF('בדיקה_גופנית'!$B$5:$B$49,D13)</f>
        <v/>
      </c>
      <c r="F13" s="73">
        <f>IF(E13=1,"תקין",IF(E13=0,"חסר","כפול"))</f>
        <v/>
      </c>
      <c r="G13" s="73" t="inlineStr">
        <is>
          <t>IT-009</t>
        </is>
      </c>
      <c r="H13" s="73">
        <f>COUNTIF('בדיקות_מיידיות'!$B$5:$B$37,G13)</f>
        <v/>
      </c>
      <c r="I13" s="73">
        <f>IF(H13=1,"תקין",IF(H13=0,"חסר","כפול"))</f>
        <v/>
      </c>
      <c r="J13" s="73" t="inlineStr">
        <is>
          <t>FT-009</t>
        </is>
      </c>
      <c r="K13" s="73">
        <f>COUNTIF('בדיקות_המשך'!$B$5:$B$13,J13)</f>
        <v/>
      </c>
      <c r="L13" s="74">
        <f>IF(K13=1,"תקין",IF(K13=0,"חסר","כפול"))</f>
        <v/>
      </c>
    </row>
    <row r="14">
      <c r="A14" s="72" t="inlineStr">
        <is>
          <t>AN-010</t>
        </is>
      </c>
      <c r="B14" s="73">
        <f>COUNTIF('אנמנזה'!$B$5:$B$93,A14)</f>
        <v/>
      </c>
      <c r="C14" s="73">
        <f>IF(B14=1,"תקין",IF(B14=0,"חסר","כפול"))</f>
        <v/>
      </c>
      <c r="D14" s="73" t="inlineStr">
        <is>
          <t>PE-010</t>
        </is>
      </c>
      <c r="E14" s="73">
        <f>COUNTIF('בדיקה_גופנית'!$B$5:$B$49,D14)</f>
        <v/>
      </c>
      <c r="F14" s="73">
        <f>IF(E14=1,"תקין",IF(E14=0,"חסר","כפול"))</f>
        <v/>
      </c>
      <c r="G14" s="73" t="inlineStr">
        <is>
          <t>IT-010</t>
        </is>
      </c>
      <c r="H14" s="73">
        <f>COUNTIF('בדיקות_מיידיות'!$B$5:$B$37,G14)</f>
        <v/>
      </c>
      <c r="I14" s="73">
        <f>IF(H14=1,"תקין",IF(H14=0,"חסר","כפול"))</f>
        <v/>
      </c>
      <c r="J14" s="73" t="n"/>
      <c r="K14" s="73" t="n"/>
      <c r="L14" s="74" t="n"/>
    </row>
    <row r="15">
      <c r="A15" s="72" t="inlineStr">
        <is>
          <t>AN-011</t>
        </is>
      </c>
      <c r="B15" s="73">
        <f>COUNTIF('אנמנזה'!$B$5:$B$93,A15)</f>
        <v/>
      </c>
      <c r="C15" s="73">
        <f>IF(B15=1,"תקין",IF(B15=0,"חסר","כפול"))</f>
        <v/>
      </c>
      <c r="D15" s="73" t="inlineStr">
        <is>
          <t>PE-011</t>
        </is>
      </c>
      <c r="E15" s="73">
        <f>COUNTIF('בדיקה_גופנית'!$B$5:$B$49,D15)</f>
        <v/>
      </c>
      <c r="F15" s="73">
        <f>IF(E15=1,"תקין",IF(E15=0,"חסר","כפול"))</f>
        <v/>
      </c>
      <c r="G15" s="73" t="inlineStr">
        <is>
          <t>IT-011</t>
        </is>
      </c>
      <c r="H15" s="73">
        <f>COUNTIF('בדיקות_מיידיות'!$B$5:$B$37,G15)</f>
        <v/>
      </c>
      <c r="I15" s="73">
        <f>IF(H15=1,"תקין",IF(H15=0,"חסר","כפול"))</f>
        <v/>
      </c>
      <c r="J15" s="73" t="n"/>
      <c r="K15" s="73" t="n"/>
      <c r="L15" s="74" t="n"/>
    </row>
    <row r="16">
      <c r="A16" s="72" t="inlineStr">
        <is>
          <t>AN-012</t>
        </is>
      </c>
      <c r="B16" s="73">
        <f>COUNTIF('אנמנזה'!$B$5:$B$93,A16)</f>
        <v/>
      </c>
      <c r="C16" s="73">
        <f>IF(B16=1,"תקין",IF(B16=0,"חסר","כפול"))</f>
        <v/>
      </c>
      <c r="D16" s="73" t="inlineStr">
        <is>
          <t>PE-012</t>
        </is>
      </c>
      <c r="E16" s="73">
        <f>COUNTIF('בדיקה_גופנית'!$B$5:$B$49,D16)</f>
        <v/>
      </c>
      <c r="F16" s="73">
        <f>IF(E16=1,"תקין",IF(E16=0,"חסר","כפול"))</f>
        <v/>
      </c>
      <c r="G16" s="73" t="inlineStr">
        <is>
          <t>IT-012</t>
        </is>
      </c>
      <c r="H16" s="73">
        <f>COUNTIF('בדיקות_מיידיות'!$B$5:$B$37,G16)</f>
        <v/>
      </c>
      <c r="I16" s="73">
        <f>IF(H16=1,"תקין",IF(H16=0,"חסר","כפול"))</f>
        <v/>
      </c>
      <c r="J16" s="73" t="n"/>
      <c r="K16" s="73" t="n"/>
      <c r="L16" s="74" t="n"/>
    </row>
    <row r="17">
      <c r="A17" s="72" t="inlineStr">
        <is>
          <t>AN-013</t>
        </is>
      </c>
      <c r="B17" s="73">
        <f>COUNTIF('אנמנזה'!$B$5:$B$93,A17)</f>
        <v/>
      </c>
      <c r="C17" s="73">
        <f>IF(B17=1,"תקין",IF(B17=0,"חסר","כפול"))</f>
        <v/>
      </c>
      <c r="D17" s="73" t="inlineStr">
        <is>
          <t>PE-013</t>
        </is>
      </c>
      <c r="E17" s="73">
        <f>COUNTIF('בדיקה_גופנית'!$B$5:$B$49,D17)</f>
        <v/>
      </c>
      <c r="F17" s="73">
        <f>IF(E17=1,"תקין",IF(E17=0,"חסר","כפול"))</f>
        <v/>
      </c>
      <c r="G17" s="73" t="inlineStr">
        <is>
          <t>IT-013</t>
        </is>
      </c>
      <c r="H17" s="73">
        <f>COUNTIF('בדיקות_מיידיות'!$B$5:$B$37,G17)</f>
        <v/>
      </c>
      <c r="I17" s="73">
        <f>IF(H17=1,"תקין",IF(H17=0,"חסר","כפול"))</f>
        <v/>
      </c>
      <c r="J17" s="73" t="n"/>
      <c r="K17" s="73" t="n"/>
      <c r="L17" s="74" t="n"/>
    </row>
    <row r="18">
      <c r="A18" s="72" t="inlineStr">
        <is>
          <t>AN-014</t>
        </is>
      </c>
      <c r="B18" s="73">
        <f>COUNTIF('אנמנזה'!$B$5:$B$93,A18)</f>
        <v/>
      </c>
      <c r="C18" s="73">
        <f>IF(B18=1,"תקין",IF(B18=0,"חסר","כפול"))</f>
        <v/>
      </c>
      <c r="D18" s="73" t="inlineStr">
        <is>
          <t>PE-014</t>
        </is>
      </c>
      <c r="E18" s="73">
        <f>COUNTIF('בדיקה_גופנית'!$B$5:$B$49,D18)</f>
        <v/>
      </c>
      <c r="F18" s="73">
        <f>IF(E18=1,"תקין",IF(E18=0,"חסר","כפול"))</f>
        <v/>
      </c>
      <c r="G18" s="73" t="inlineStr">
        <is>
          <t>IT-014</t>
        </is>
      </c>
      <c r="H18" s="73">
        <f>COUNTIF('בדיקות_מיידיות'!$B$5:$B$37,G18)</f>
        <v/>
      </c>
      <c r="I18" s="73">
        <f>IF(H18=1,"תקין",IF(H18=0,"חסר","כפול"))</f>
        <v/>
      </c>
      <c r="J18" s="73" t="n"/>
      <c r="K18" s="73" t="n"/>
      <c r="L18" s="74" t="n"/>
    </row>
    <row r="19">
      <c r="A19" s="72" t="inlineStr">
        <is>
          <t>AN-015</t>
        </is>
      </c>
      <c r="B19" s="73">
        <f>COUNTIF('אנמנזה'!$B$5:$B$93,A19)</f>
        <v/>
      </c>
      <c r="C19" s="73">
        <f>IF(B19=1,"תקין",IF(B19=0,"חסר","כפול"))</f>
        <v/>
      </c>
      <c r="D19" s="73" t="inlineStr">
        <is>
          <t>PE-015</t>
        </is>
      </c>
      <c r="E19" s="73">
        <f>COUNTIF('בדיקה_גופנית'!$B$5:$B$49,D19)</f>
        <v/>
      </c>
      <c r="F19" s="73">
        <f>IF(E19=1,"תקין",IF(E19=0,"חסר","כפול"))</f>
        <v/>
      </c>
      <c r="G19" s="73" t="inlineStr">
        <is>
          <t>IT-015</t>
        </is>
      </c>
      <c r="H19" s="73">
        <f>COUNTIF('בדיקות_מיידיות'!$B$5:$B$37,G19)</f>
        <v/>
      </c>
      <c r="I19" s="73">
        <f>IF(H19=1,"תקין",IF(H19=0,"חסר","כפול"))</f>
        <v/>
      </c>
      <c r="J19" s="73" t="n"/>
      <c r="K19" s="73" t="n"/>
      <c r="L19" s="74" t="n"/>
    </row>
    <row r="20">
      <c r="A20" s="72" t="inlineStr">
        <is>
          <t>AN-016</t>
        </is>
      </c>
      <c r="B20" s="73">
        <f>COUNTIF('אנמנזה'!$B$5:$B$93,A20)</f>
        <v/>
      </c>
      <c r="C20" s="73">
        <f>IF(B20=1,"תקין",IF(B20=0,"חסר","כפול"))</f>
        <v/>
      </c>
      <c r="D20" s="73" t="inlineStr">
        <is>
          <t>PE-016</t>
        </is>
      </c>
      <c r="E20" s="73">
        <f>COUNTIF('בדיקה_גופנית'!$B$5:$B$49,D20)</f>
        <v/>
      </c>
      <c r="F20" s="73">
        <f>IF(E20=1,"תקין",IF(E20=0,"חסר","כפול"))</f>
        <v/>
      </c>
      <c r="G20" s="73" t="inlineStr">
        <is>
          <t>IT-016</t>
        </is>
      </c>
      <c r="H20" s="73">
        <f>COUNTIF('בדיקות_מיידיות'!$B$5:$B$37,G20)</f>
        <v/>
      </c>
      <c r="I20" s="73">
        <f>IF(H20=1,"תקין",IF(H20=0,"חסר","כפול"))</f>
        <v/>
      </c>
      <c r="J20" s="73" t="n"/>
      <c r="K20" s="73" t="n"/>
      <c r="L20" s="74" t="n"/>
    </row>
    <row r="21">
      <c r="A21" s="72" t="inlineStr">
        <is>
          <t>AN-017</t>
        </is>
      </c>
      <c r="B21" s="73">
        <f>COUNTIF('אנמנזה'!$B$5:$B$93,A21)</f>
        <v/>
      </c>
      <c r="C21" s="73">
        <f>IF(B21=1,"תקין",IF(B21=0,"חסר","כפול"))</f>
        <v/>
      </c>
      <c r="D21" s="73" t="inlineStr">
        <is>
          <t>PE-017</t>
        </is>
      </c>
      <c r="E21" s="73">
        <f>COUNTIF('בדיקה_גופנית'!$B$5:$B$49,D21)</f>
        <v/>
      </c>
      <c r="F21" s="73">
        <f>IF(E21=1,"תקין",IF(E21=0,"חסר","כפול"))</f>
        <v/>
      </c>
      <c r="G21" s="73" t="inlineStr">
        <is>
          <t>IT-017</t>
        </is>
      </c>
      <c r="H21" s="73">
        <f>COUNTIF('בדיקות_מיידיות'!$B$5:$B$37,G21)</f>
        <v/>
      </c>
      <c r="I21" s="73">
        <f>IF(H21=1,"תקין",IF(H21=0,"חסר","כפול"))</f>
        <v/>
      </c>
      <c r="J21" s="73" t="n"/>
      <c r="K21" s="73" t="n"/>
      <c r="L21" s="74" t="n"/>
    </row>
    <row r="22">
      <c r="A22" s="72" t="inlineStr">
        <is>
          <t>AN-018</t>
        </is>
      </c>
      <c r="B22" s="73">
        <f>COUNTIF('אנמנזה'!$B$5:$B$93,A22)</f>
        <v/>
      </c>
      <c r="C22" s="73">
        <f>IF(B22=1,"תקין",IF(B22=0,"חסר","כפול"))</f>
        <v/>
      </c>
      <c r="D22" s="73" t="inlineStr">
        <is>
          <t>PE-018</t>
        </is>
      </c>
      <c r="E22" s="73">
        <f>COUNTIF('בדיקה_גופנית'!$B$5:$B$49,D22)</f>
        <v/>
      </c>
      <c r="F22" s="73">
        <f>IF(E22=1,"תקין",IF(E22=0,"חסר","כפול"))</f>
        <v/>
      </c>
      <c r="G22" s="73" t="inlineStr">
        <is>
          <t>IT-018</t>
        </is>
      </c>
      <c r="H22" s="73">
        <f>COUNTIF('בדיקות_מיידיות'!$B$5:$B$37,G22)</f>
        <v/>
      </c>
      <c r="I22" s="73">
        <f>IF(H22=1,"תקין",IF(H22=0,"חסר","כפול"))</f>
        <v/>
      </c>
      <c r="J22" s="73" t="n"/>
      <c r="K22" s="73" t="n"/>
      <c r="L22" s="74" t="n"/>
    </row>
    <row r="23">
      <c r="A23" s="72" t="inlineStr">
        <is>
          <t>AN-019</t>
        </is>
      </c>
      <c r="B23" s="73">
        <f>COUNTIF('אנמנזה'!$B$5:$B$93,A23)</f>
        <v/>
      </c>
      <c r="C23" s="73">
        <f>IF(B23=1,"תקין",IF(B23=0,"חסר","כפול"))</f>
        <v/>
      </c>
      <c r="D23" s="73" t="inlineStr">
        <is>
          <t>PE-019</t>
        </is>
      </c>
      <c r="E23" s="73">
        <f>COUNTIF('בדיקה_גופנית'!$B$5:$B$49,D23)</f>
        <v/>
      </c>
      <c r="F23" s="73">
        <f>IF(E23=1,"תקין",IF(E23=0,"חסר","כפול"))</f>
        <v/>
      </c>
      <c r="G23" s="73" t="inlineStr">
        <is>
          <t>IT-019</t>
        </is>
      </c>
      <c r="H23" s="73">
        <f>COUNTIF('בדיקות_מיידיות'!$B$5:$B$37,G23)</f>
        <v/>
      </c>
      <c r="I23" s="73">
        <f>IF(H23=1,"תקין",IF(H23=0,"חסר","כפול"))</f>
        <v/>
      </c>
      <c r="J23" s="73" t="n"/>
      <c r="K23" s="73" t="n"/>
      <c r="L23" s="74" t="n"/>
    </row>
    <row r="24">
      <c r="A24" s="72" t="inlineStr">
        <is>
          <t>AN-020</t>
        </is>
      </c>
      <c r="B24" s="73">
        <f>COUNTIF('אנמנזה'!$B$5:$B$93,A24)</f>
        <v/>
      </c>
      <c r="C24" s="73">
        <f>IF(B24=1,"תקין",IF(B24=0,"חסר","כפול"))</f>
        <v/>
      </c>
      <c r="D24" s="73" t="inlineStr">
        <is>
          <t>PE-020</t>
        </is>
      </c>
      <c r="E24" s="73">
        <f>COUNTIF('בדיקה_גופנית'!$B$5:$B$49,D24)</f>
        <v/>
      </c>
      <c r="F24" s="73">
        <f>IF(E24=1,"תקין",IF(E24=0,"חסר","כפול"))</f>
        <v/>
      </c>
      <c r="G24" s="73" t="inlineStr">
        <is>
          <t>IT-020</t>
        </is>
      </c>
      <c r="H24" s="73">
        <f>COUNTIF('בדיקות_מיידיות'!$B$5:$B$37,G24)</f>
        <v/>
      </c>
      <c r="I24" s="73">
        <f>IF(H24=1,"תקין",IF(H24=0,"חסר","כפול"))</f>
        <v/>
      </c>
      <c r="J24" s="73" t="n"/>
      <c r="K24" s="73" t="n"/>
      <c r="L24" s="74" t="n"/>
    </row>
    <row r="25">
      <c r="A25" s="72" t="inlineStr">
        <is>
          <t>AN-021</t>
        </is>
      </c>
      <c r="B25" s="73">
        <f>COUNTIF('אנמנזה'!$B$5:$B$93,A25)</f>
        <v/>
      </c>
      <c r="C25" s="73">
        <f>IF(B25=1,"תקין",IF(B25=0,"חסר","כפול"))</f>
        <v/>
      </c>
      <c r="D25" s="73" t="inlineStr">
        <is>
          <t>PE-021</t>
        </is>
      </c>
      <c r="E25" s="73">
        <f>COUNTIF('בדיקה_גופנית'!$B$5:$B$49,D25)</f>
        <v/>
      </c>
      <c r="F25" s="73">
        <f>IF(E25=1,"תקין",IF(E25=0,"חסר","כפול"))</f>
        <v/>
      </c>
      <c r="G25" s="73" t="inlineStr">
        <is>
          <t>IT-021</t>
        </is>
      </c>
      <c r="H25" s="73">
        <f>COUNTIF('בדיקות_מיידיות'!$B$5:$B$37,G25)</f>
        <v/>
      </c>
      <c r="I25" s="73">
        <f>IF(H25=1,"תקין",IF(H25=0,"חסר","כפול"))</f>
        <v/>
      </c>
      <c r="J25" s="73" t="n"/>
      <c r="K25" s="73" t="n"/>
      <c r="L25" s="74" t="n"/>
    </row>
    <row r="26">
      <c r="A26" s="72" t="inlineStr">
        <is>
          <t>AN-022</t>
        </is>
      </c>
      <c r="B26" s="73">
        <f>COUNTIF('אנמנזה'!$B$5:$B$93,A26)</f>
        <v/>
      </c>
      <c r="C26" s="73">
        <f>IF(B26=1,"תקין",IF(B26=0,"חסר","כפול"))</f>
        <v/>
      </c>
      <c r="D26" s="73" t="inlineStr">
        <is>
          <t>PE-022</t>
        </is>
      </c>
      <c r="E26" s="73">
        <f>COUNTIF('בדיקה_גופנית'!$B$5:$B$49,D26)</f>
        <v/>
      </c>
      <c r="F26" s="73">
        <f>IF(E26=1,"תקין",IF(E26=0,"חסר","כפול"))</f>
        <v/>
      </c>
      <c r="G26" s="73" t="inlineStr">
        <is>
          <t>IT-022</t>
        </is>
      </c>
      <c r="H26" s="73">
        <f>COUNTIF('בדיקות_מיידיות'!$B$5:$B$37,G26)</f>
        <v/>
      </c>
      <c r="I26" s="73">
        <f>IF(H26=1,"תקין",IF(H26=0,"חסר","כפול"))</f>
        <v/>
      </c>
      <c r="J26" s="73" t="n"/>
      <c r="K26" s="73" t="n"/>
      <c r="L26" s="74" t="n"/>
    </row>
    <row r="27">
      <c r="A27" s="72" t="inlineStr">
        <is>
          <t>AN-023</t>
        </is>
      </c>
      <c r="B27" s="73">
        <f>COUNTIF('אנמנזה'!$B$5:$B$93,A27)</f>
        <v/>
      </c>
      <c r="C27" s="73">
        <f>IF(B27=1,"תקין",IF(B27=0,"חסר","כפול"))</f>
        <v/>
      </c>
      <c r="D27" s="73" t="inlineStr">
        <is>
          <t>PE-023</t>
        </is>
      </c>
      <c r="E27" s="73">
        <f>COUNTIF('בדיקה_גופנית'!$B$5:$B$49,D27)</f>
        <v/>
      </c>
      <c r="F27" s="73">
        <f>IF(E27=1,"תקין",IF(E27=0,"חסר","כפול"))</f>
        <v/>
      </c>
      <c r="G27" s="73" t="inlineStr">
        <is>
          <t>IT-023</t>
        </is>
      </c>
      <c r="H27" s="73">
        <f>COUNTIF('בדיקות_מיידיות'!$B$5:$B$37,G27)</f>
        <v/>
      </c>
      <c r="I27" s="73">
        <f>IF(H27=1,"תקין",IF(H27=0,"חסר","כפול"))</f>
        <v/>
      </c>
      <c r="J27" s="73" t="n"/>
      <c r="K27" s="73" t="n"/>
      <c r="L27" s="74" t="n"/>
    </row>
    <row r="28">
      <c r="A28" s="72" t="inlineStr">
        <is>
          <t>AN-024</t>
        </is>
      </c>
      <c r="B28" s="73">
        <f>COUNTIF('אנמנזה'!$B$5:$B$93,A28)</f>
        <v/>
      </c>
      <c r="C28" s="73">
        <f>IF(B28=1,"תקין",IF(B28=0,"חסר","כפול"))</f>
        <v/>
      </c>
      <c r="D28" s="73" t="inlineStr">
        <is>
          <t>PE-024</t>
        </is>
      </c>
      <c r="E28" s="73">
        <f>COUNTIF('בדיקה_גופנית'!$B$5:$B$49,D28)</f>
        <v/>
      </c>
      <c r="F28" s="73">
        <f>IF(E28=1,"תקין",IF(E28=0,"חסר","כפול"))</f>
        <v/>
      </c>
      <c r="G28" s="73" t="inlineStr">
        <is>
          <t>IT-024</t>
        </is>
      </c>
      <c r="H28" s="73">
        <f>COUNTIF('בדיקות_מיידיות'!$B$5:$B$37,G28)</f>
        <v/>
      </c>
      <c r="I28" s="73">
        <f>IF(H28=1,"תקין",IF(H28=0,"חסר","כפול"))</f>
        <v/>
      </c>
      <c r="J28" s="73" t="n"/>
      <c r="K28" s="73" t="n"/>
      <c r="L28" s="74" t="n"/>
    </row>
    <row r="29">
      <c r="A29" s="72" t="inlineStr">
        <is>
          <t>AN-025</t>
        </is>
      </c>
      <c r="B29" s="73">
        <f>COUNTIF('אנמנזה'!$B$5:$B$93,A29)</f>
        <v/>
      </c>
      <c r="C29" s="73">
        <f>IF(B29=1,"תקין",IF(B29=0,"חסר","כפול"))</f>
        <v/>
      </c>
      <c r="D29" s="73" t="inlineStr">
        <is>
          <t>PE-025</t>
        </is>
      </c>
      <c r="E29" s="73">
        <f>COUNTIF('בדיקה_גופנית'!$B$5:$B$49,D29)</f>
        <v/>
      </c>
      <c r="F29" s="73">
        <f>IF(E29=1,"תקין",IF(E29=0,"חסר","כפול"))</f>
        <v/>
      </c>
      <c r="G29" s="73" t="inlineStr">
        <is>
          <t>IT-025</t>
        </is>
      </c>
      <c r="H29" s="73">
        <f>COUNTIF('בדיקות_מיידיות'!$B$5:$B$37,G29)</f>
        <v/>
      </c>
      <c r="I29" s="73">
        <f>IF(H29=1,"תקין",IF(H29=0,"חסר","כפול"))</f>
        <v/>
      </c>
      <c r="J29" s="73" t="n"/>
      <c r="K29" s="73" t="n"/>
      <c r="L29" s="74" t="n"/>
    </row>
    <row r="30">
      <c r="A30" s="72" t="inlineStr">
        <is>
          <t>AN-026</t>
        </is>
      </c>
      <c r="B30" s="73">
        <f>COUNTIF('אנמנזה'!$B$5:$B$93,A30)</f>
        <v/>
      </c>
      <c r="C30" s="73">
        <f>IF(B30=1,"תקין",IF(B30=0,"חסר","כפול"))</f>
        <v/>
      </c>
      <c r="D30" s="73" t="inlineStr">
        <is>
          <t>PE-026</t>
        </is>
      </c>
      <c r="E30" s="73">
        <f>COUNTIF('בדיקה_גופנית'!$B$5:$B$49,D30)</f>
        <v/>
      </c>
      <c r="F30" s="73">
        <f>IF(E30=1,"תקין",IF(E30=0,"חסר","כפול"))</f>
        <v/>
      </c>
      <c r="G30" s="73" t="inlineStr">
        <is>
          <t>IT-026</t>
        </is>
      </c>
      <c r="H30" s="73">
        <f>COUNTIF('בדיקות_מיידיות'!$B$5:$B$37,G30)</f>
        <v/>
      </c>
      <c r="I30" s="73">
        <f>IF(H30=1,"תקין",IF(H30=0,"חסר","כפול"))</f>
        <v/>
      </c>
      <c r="J30" s="73" t="n"/>
      <c r="K30" s="73" t="n"/>
      <c r="L30" s="74" t="n"/>
    </row>
    <row r="31">
      <c r="A31" s="72" t="inlineStr">
        <is>
          <t>AN-027</t>
        </is>
      </c>
      <c r="B31" s="73">
        <f>COUNTIF('אנמנזה'!$B$5:$B$93,A31)</f>
        <v/>
      </c>
      <c r="C31" s="73">
        <f>IF(B31=1,"תקין",IF(B31=0,"חסר","כפול"))</f>
        <v/>
      </c>
      <c r="D31" s="73" t="inlineStr">
        <is>
          <t>PE-027</t>
        </is>
      </c>
      <c r="E31" s="73">
        <f>COUNTIF('בדיקה_גופנית'!$B$5:$B$49,D31)</f>
        <v/>
      </c>
      <c r="F31" s="73">
        <f>IF(E31=1,"תקין",IF(E31=0,"חסר","כפול"))</f>
        <v/>
      </c>
      <c r="G31" s="73" t="inlineStr">
        <is>
          <t>IT-027</t>
        </is>
      </c>
      <c r="H31" s="73">
        <f>COUNTIF('בדיקות_מיידיות'!$B$5:$B$37,G31)</f>
        <v/>
      </c>
      <c r="I31" s="73">
        <f>IF(H31=1,"תקין",IF(H31=0,"חסר","כפול"))</f>
        <v/>
      </c>
      <c r="J31" s="73" t="n"/>
      <c r="K31" s="73" t="n"/>
      <c r="L31" s="74" t="n"/>
    </row>
    <row r="32">
      <c r="A32" s="72" t="inlineStr">
        <is>
          <t>AN-028</t>
        </is>
      </c>
      <c r="B32" s="73">
        <f>COUNTIF('אנמנזה'!$B$5:$B$93,A32)</f>
        <v/>
      </c>
      <c r="C32" s="73">
        <f>IF(B32=1,"תקין",IF(B32=0,"חסר","כפול"))</f>
        <v/>
      </c>
      <c r="D32" s="73" t="inlineStr">
        <is>
          <t>PE-028</t>
        </is>
      </c>
      <c r="E32" s="73">
        <f>COUNTIF('בדיקה_גופנית'!$B$5:$B$49,D32)</f>
        <v/>
      </c>
      <c r="F32" s="73">
        <f>IF(E32=1,"תקין",IF(E32=0,"חסר","כפול"))</f>
        <v/>
      </c>
      <c r="G32" s="73" t="inlineStr">
        <is>
          <t>IT-028</t>
        </is>
      </c>
      <c r="H32" s="73">
        <f>COUNTIF('בדיקות_מיידיות'!$B$5:$B$37,G32)</f>
        <v/>
      </c>
      <c r="I32" s="73">
        <f>IF(H32=1,"תקין",IF(H32=0,"חסר","כפול"))</f>
        <v/>
      </c>
      <c r="J32" s="73" t="n"/>
      <c r="K32" s="73" t="n"/>
      <c r="L32" s="74" t="n"/>
    </row>
    <row r="33">
      <c r="A33" s="72" t="inlineStr">
        <is>
          <t>AN-029</t>
        </is>
      </c>
      <c r="B33" s="73">
        <f>COUNTIF('אנמנזה'!$B$5:$B$93,A33)</f>
        <v/>
      </c>
      <c r="C33" s="73">
        <f>IF(B33=1,"תקין",IF(B33=0,"חסר","כפול"))</f>
        <v/>
      </c>
      <c r="D33" s="73" t="inlineStr">
        <is>
          <t>PE-029</t>
        </is>
      </c>
      <c r="E33" s="73">
        <f>COUNTIF('בדיקה_גופנית'!$B$5:$B$49,D33)</f>
        <v/>
      </c>
      <c r="F33" s="73">
        <f>IF(E33=1,"תקין",IF(E33=0,"חסר","כפול"))</f>
        <v/>
      </c>
      <c r="G33" s="73" t="inlineStr">
        <is>
          <t>IT-029</t>
        </is>
      </c>
      <c r="H33" s="73">
        <f>COUNTIF('בדיקות_מיידיות'!$B$5:$B$37,G33)</f>
        <v/>
      </c>
      <c r="I33" s="73">
        <f>IF(H33=1,"תקין",IF(H33=0,"חסר","כפול"))</f>
        <v/>
      </c>
      <c r="J33" s="73" t="n"/>
      <c r="K33" s="73" t="n"/>
      <c r="L33" s="74" t="n"/>
    </row>
    <row r="34">
      <c r="A34" s="72" t="inlineStr">
        <is>
          <t>AN-030</t>
        </is>
      </c>
      <c r="B34" s="73">
        <f>COUNTIF('אנמנזה'!$B$5:$B$93,A34)</f>
        <v/>
      </c>
      <c r="C34" s="73">
        <f>IF(B34=1,"תקין",IF(B34=0,"חסר","כפול"))</f>
        <v/>
      </c>
      <c r="D34" s="73" t="inlineStr">
        <is>
          <t>PE-030</t>
        </is>
      </c>
      <c r="E34" s="73">
        <f>COUNTIF('בדיקה_גופנית'!$B$5:$B$49,D34)</f>
        <v/>
      </c>
      <c r="F34" s="73">
        <f>IF(E34=1,"תקין",IF(E34=0,"חסר","כפול"))</f>
        <v/>
      </c>
      <c r="G34" s="73" t="inlineStr">
        <is>
          <t>IT-030</t>
        </is>
      </c>
      <c r="H34" s="73">
        <f>COUNTIF('בדיקות_מיידיות'!$B$5:$B$37,G34)</f>
        <v/>
      </c>
      <c r="I34" s="73">
        <f>IF(H34=1,"תקין",IF(H34=0,"חסר","כפול"))</f>
        <v/>
      </c>
      <c r="J34" s="73" t="n"/>
      <c r="K34" s="73" t="n"/>
      <c r="L34" s="74" t="n"/>
    </row>
    <row r="35">
      <c r="A35" s="72" t="inlineStr">
        <is>
          <t>AN-031</t>
        </is>
      </c>
      <c r="B35" s="73">
        <f>COUNTIF('אנמנזה'!$B$5:$B$93,A35)</f>
        <v/>
      </c>
      <c r="C35" s="73">
        <f>IF(B35=1,"תקין",IF(B35=0,"חסר","כפול"))</f>
        <v/>
      </c>
      <c r="D35" s="73" t="inlineStr">
        <is>
          <t>PE-031</t>
        </is>
      </c>
      <c r="E35" s="73">
        <f>COUNTIF('בדיקה_גופנית'!$B$5:$B$49,D35)</f>
        <v/>
      </c>
      <c r="F35" s="73">
        <f>IF(E35=1,"תקין",IF(E35=0,"חסר","כפול"))</f>
        <v/>
      </c>
      <c r="G35" s="73" t="inlineStr">
        <is>
          <t>IT-031</t>
        </is>
      </c>
      <c r="H35" s="73">
        <f>COUNTIF('בדיקות_מיידיות'!$B$5:$B$37,G35)</f>
        <v/>
      </c>
      <c r="I35" s="73">
        <f>IF(H35=1,"תקין",IF(H35=0,"חסר","כפול"))</f>
        <v/>
      </c>
      <c r="J35" s="73" t="n"/>
      <c r="K35" s="73" t="n"/>
      <c r="L35" s="74" t="n"/>
    </row>
    <row r="36">
      <c r="A36" s="72" t="inlineStr">
        <is>
          <t>AN-032</t>
        </is>
      </c>
      <c r="B36" s="73">
        <f>COUNTIF('אנמנזה'!$B$5:$B$93,A36)</f>
        <v/>
      </c>
      <c r="C36" s="73">
        <f>IF(B36=1,"תקין",IF(B36=0,"חסר","כפול"))</f>
        <v/>
      </c>
      <c r="D36" s="73" t="inlineStr">
        <is>
          <t>PE-032</t>
        </is>
      </c>
      <c r="E36" s="73">
        <f>COUNTIF('בדיקה_גופנית'!$B$5:$B$49,D36)</f>
        <v/>
      </c>
      <c r="F36" s="73">
        <f>IF(E36=1,"תקין",IF(E36=0,"חסר","כפול"))</f>
        <v/>
      </c>
      <c r="G36" s="73" t="inlineStr">
        <is>
          <t>IT-032</t>
        </is>
      </c>
      <c r="H36" s="73">
        <f>COUNTIF('בדיקות_מיידיות'!$B$5:$B$37,G36)</f>
        <v/>
      </c>
      <c r="I36" s="73">
        <f>IF(H36=1,"תקין",IF(H36=0,"חסר","כפול"))</f>
        <v/>
      </c>
      <c r="J36" s="73" t="n"/>
      <c r="K36" s="73" t="n"/>
      <c r="L36" s="74" t="n"/>
    </row>
    <row r="37">
      <c r="A37" s="72" t="inlineStr">
        <is>
          <t>AN-033</t>
        </is>
      </c>
      <c r="B37" s="73">
        <f>COUNTIF('אנמנזה'!$B$5:$B$93,A37)</f>
        <v/>
      </c>
      <c r="C37" s="73">
        <f>IF(B37=1,"תקין",IF(B37=0,"חסר","כפול"))</f>
        <v/>
      </c>
      <c r="D37" s="73" t="inlineStr">
        <is>
          <t>PE-033</t>
        </is>
      </c>
      <c r="E37" s="73">
        <f>COUNTIF('בדיקה_גופנית'!$B$5:$B$49,D37)</f>
        <v/>
      </c>
      <c r="F37" s="73">
        <f>IF(E37=1,"תקין",IF(E37=0,"חסר","כפול"))</f>
        <v/>
      </c>
      <c r="G37" s="73" t="inlineStr">
        <is>
          <t>IT-033</t>
        </is>
      </c>
      <c r="H37" s="73">
        <f>COUNTIF('בדיקות_מיידיות'!$B$5:$B$37,G37)</f>
        <v/>
      </c>
      <c r="I37" s="73">
        <f>IF(H37=1,"תקין",IF(H37=0,"חסר","כפול"))</f>
        <v/>
      </c>
      <c r="J37" s="73" t="n"/>
      <c r="K37" s="73" t="n"/>
      <c r="L37" s="74" t="n"/>
    </row>
    <row r="38">
      <c r="A38" s="72" t="inlineStr">
        <is>
          <t>AN-034</t>
        </is>
      </c>
      <c r="B38" s="73">
        <f>COUNTIF('אנמנזה'!$B$5:$B$93,A38)</f>
        <v/>
      </c>
      <c r="C38" s="73">
        <f>IF(B38=1,"תקין",IF(B38=0,"חסר","כפול"))</f>
        <v/>
      </c>
      <c r="D38" s="73" t="inlineStr">
        <is>
          <t>PE-034</t>
        </is>
      </c>
      <c r="E38" s="73">
        <f>COUNTIF('בדיקה_גופנית'!$B$5:$B$49,D38)</f>
        <v/>
      </c>
      <c r="F38" s="73">
        <f>IF(E38=1,"תקין",IF(E38=0,"חסר","כפול"))</f>
        <v/>
      </c>
      <c r="G38" s="73" t="n"/>
      <c r="H38" s="73" t="n"/>
      <c r="I38" s="73" t="n"/>
      <c r="J38" s="73" t="n"/>
      <c r="K38" s="73" t="n"/>
      <c r="L38" s="74" t="n"/>
    </row>
    <row r="39">
      <c r="A39" s="72" t="inlineStr">
        <is>
          <t>AN-035</t>
        </is>
      </c>
      <c r="B39" s="73">
        <f>COUNTIF('אנמנזה'!$B$5:$B$93,A39)</f>
        <v/>
      </c>
      <c r="C39" s="73">
        <f>IF(B39=1,"תקין",IF(B39=0,"חסר","כפול"))</f>
        <v/>
      </c>
      <c r="D39" s="73" t="inlineStr">
        <is>
          <t>PE-035</t>
        </is>
      </c>
      <c r="E39" s="73">
        <f>COUNTIF('בדיקה_גופנית'!$B$5:$B$49,D39)</f>
        <v/>
      </c>
      <c r="F39" s="73">
        <f>IF(E39=1,"תקין",IF(E39=0,"חסר","כפול"))</f>
        <v/>
      </c>
      <c r="G39" s="73" t="n"/>
      <c r="H39" s="73" t="n"/>
      <c r="I39" s="73" t="n"/>
      <c r="J39" s="73" t="n"/>
      <c r="K39" s="73" t="n"/>
      <c r="L39" s="74" t="n"/>
    </row>
    <row r="40">
      <c r="A40" s="72" t="inlineStr">
        <is>
          <t>AN-036</t>
        </is>
      </c>
      <c r="B40" s="73">
        <f>COUNTIF('אנמנזה'!$B$5:$B$93,A40)</f>
        <v/>
      </c>
      <c r="C40" s="73">
        <f>IF(B40=1,"תקין",IF(B40=0,"חסר","כפול"))</f>
        <v/>
      </c>
      <c r="D40" s="73" t="inlineStr">
        <is>
          <t>PE-036</t>
        </is>
      </c>
      <c r="E40" s="73">
        <f>COUNTIF('בדיקה_גופנית'!$B$5:$B$49,D40)</f>
        <v/>
      </c>
      <c r="F40" s="73">
        <f>IF(E40=1,"תקין",IF(E40=0,"חסר","כפול"))</f>
        <v/>
      </c>
      <c r="G40" s="73" t="n"/>
      <c r="H40" s="73" t="n"/>
      <c r="I40" s="73" t="n"/>
      <c r="J40" s="73" t="n"/>
      <c r="K40" s="73" t="n"/>
      <c r="L40" s="74" t="n"/>
    </row>
    <row r="41">
      <c r="A41" s="72" t="inlineStr">
        <is>
          <t>AN-037</t>
        </is>
      </c>
      <c r="B41" s="73">
        <f>COUNTIF('אנמנזה'!$B$5:$B$93,A41)</f>
        <v/>
      </c>
      <c r="C41" s="73">
        <f>IF(B41=1,"תקין",IF(B41=0,"חסר","כפול"))</f>
        <v/>
      </c>
      <c r="D41" s="73" t="inlineStr">
        <is>
          <t>PE-037</t>
        </is>
      </c>
      <c r="E41" s="73">
        <f>COUNTIF('בדיקה_גופנית'!$B$5:$B$49,D41)</f>
        <v/>
      </c>
      <c r="F41" s="73">
        <f>IF(E41=1,"תקין",IF(E41=0,"חסר","כפול"))</f>
        <v/>
      </c>
      <c r="G41" s="73" t="n"/>
      <c r="H41" s="73" t="n"/>
      <c r="I41" s="73" t="n"/>
      <c r="J41" s="73" t="n"/>
      <c r="K41" s="73" t="n"/>
      <c r="L41" s="74" t="n"/>
    </row>
    <row r="42">
      <c r="A42" s="72" t="inlineStr">
        <is>
          <t>AN-038</t>
        </is>
      </c>
      <c r="B42" s="73">
        <f>COUNTIF('אנמנזה'!$B$5:$B$93,A42)</f>
        <v/>
      </c>
      <c r="C42" s="73">
        <f>IF(B42=1,"תקין",IF(B42=0,"חסר","כפול"))</f>
        <v/>
      </c>
      <c r="D42" s="73" t="inlineStr">
        <is>
          <t>PE-038</t>
        </is>
      </c>
      <c r="E42" s="73">
        <f>COUNTIF('בדיקה_גופנית'!$B$5:$B$49,D42)</f>
        <v/>
      </c>
      <c r="F42" s="73">
        <f>IF(E42=1,"תקין",IF(E42=0,"חסר","כפול"))</f>
        <v/>
      </c>
      <c r="G42" s="73" t="n"/>
      <c r="H42" s="73" t="n"/>
      <c r="I42" s="73" t="n"/>
      <c r="J42" s="73" t="n"/>
      <c r="K42" s="73" t="n"/>
      <c r="L42" s="74" t="n"/>
    </row>
    <row r="43">
      <c r="A43" s="72" t="inlineStr">
        <is>
          <t>AN-039</t>
        </is>
      </c>
      <c r="B43" s="73">
        <f>COUNTIF('אנמנזה'!$B$5:$B$93,A43)</f>
        <v/>
      </c>
      <c r="C43" s="73">
        <f>IF(B43=1,"תקין",IF(B43=0,"חסר","כפול"))</f>
        <v/>
      </c>
      <c r="D43" s="73" t="inlineStr">
        <is>
          <t>PE-039</t>
        </is>
      </c>
      <c r="E43" s="73">
        <f>COUNTIF('בדיקה_גופנית'!$B$5:$B$49,D43)</f>
        <v/>
      </c>
      <c r="F43" s="73">
        <f>IF(E43=1,"תקין",IF(E43=0,"חסר","כפול"))</f>
        <v/>
      </c>
      <c r="G43" s="73" t="n"/>
      <c r="H43" s="73" t="n"/>
      <c r="I43" s="73" t="n"/>
      <c r="J43" s="73" t="n"/>
      <c r="K43" s="73" t="n"/>
      <c r="L43" s="74" t="n"/>
    </row>
    <row r="44">
      <c r="A44" s="72" t="inlineStr">
        <is>
          <t>AN-040</t>
        </is>
      </c>
      <c r="B44" s="73">
        <f>COUNTIF('אנמנזה'!$B$5:$B$93,A44)</f>
        <v/>
      </c>
      <c r="C44" s="73">
        <f>IF(B44=1,"תקין",IF(B44=0,"חסר","כפול"))</f>
        <v/>
      </c>
      <c r="D44" s="73" t="inlineStr">
        <is>
          <t>PE-040</t>
        </is>
      </c>
      <c r="E44" s="73">
        <f>COUNTIF('בדיקה_גופנית'!$B$5:$B$49,D44)</f>
        <v/>
      </c>
      <c r="F44" s="73">
        <f>IF(E44=1,"תקין",IF(E44=0,"חסר","כפול"))</f>
        <v/>
      </c>
      <c r="G44" s="73" t="n"/>
      <c r="H44" s="73" t="n"/>
      <c r="I44" s="73" t="n"/>
      <c r="J44" s="73" t="n"/>
      <c r="K44" s="73" t="n"/>
      <c r="L44" s="74" t="n"/>
    </row>
    <row r="45">
      <c r="A45" s="72" t="inlineStr">
        <is>
          <t>AN-041</t>
        </is>
      </c>
      <c r="B45" s="73">
        <f>COUNTIF('אנמנזה'!$B$5:$B$93,A45)</f>
        <v/>
      </c>
      <c r="C45" s="73">
        <f>IF(B45=1,"תקין",IF(B45=0,"חסר","כפול"))</f>
        <v/>
      </c>
      <c r="D45" s="73" t="inlineStr">
        <is>
          <t>PE-041</t>
        </is>
      </c>
      <c r="E45" s="73">
        <f>COUNTIF('בדיקה_גופנית'!$B$5:$B$49,D45)</f>
        <v/>
      </c>
      <c r="F45" s="73">
        <f>IF(E45=1,"תקין",IF(E45=0,"חסר","כפול"))</f>
        <v/>
      </c>
      <c r="G45" s="73" t="n"/>
      <c r="H45" s="73" t="n"/>
      <c r="I45" s="73" t="n"/>
      <c r="J45" s="73" t="n"/>
      <c r="K45" s="73" t="n"/>
      <c r="L45" s="74" t="n"/>
    </row>
    <row r="46">
      <c r="A46" s="72" t="inlineStr">
        <is>
          <t>AN-042</t>
        </is>
      </c>
      <c r="B46" s="73">
        <f>COUNTIF('אנמנזה'!$B$5:$B$93,A46)</f>
        <v/>
      </c>
      <c r="C46" s="73">
        <f>IF(B46=1,"תקין",IF(B46=0,"חסר","כפול"))</f>
        <v/>
      </c>
      <c r="D46" s="73" t="inlineStr">
        <is>
          <t>PE-042</t>
        </is>
      </c>
      <c r="E46" s="73">
        <f>COUNTIF('בדיקה_גופנית'!$B$5:$B$49,D46)</f>
        <v/>
      </c>
      <c r="F46" s="73">
        <f>IF(E46=1,"תקין",IF(E46=0,"חסר","כפול"))</f>
        <v/>
      </c>
      <c r="G46" s="73" t="n"/>
      <c r="H46" s="73" t="n"/>
      <c r="I46" s="73" t="n"/>
      <c r="J46" s="73" t="n"/>
      <c r="K46" s="73" t="n"/>
      <c r="L46" s="74" t="n"/>
    </row>
    <row r="47">
      <c r="A47" s="72" t="inlineStr">
        <is>
          <t>AN-043</t>
        </is>
      </c>
      <c r="B47" s="73">
        <f>COUNTIF('אנמנזה'!$B$5:$B$93,A47)</f>
        <v/>
      </c>
      <c r="C47" s="73">
        <f>IF(B47=1,"תקין",IF(B47=0,"חסר","כפול"))</f>
        <v/>
      </c>
      <c r="D47" s="73" t="inlineStr">
        <is>
          <t>PE-043</t>
        </is>
      </c>
      <c r="E47" s="73">
        <f>COUNTIF('בדיקה_גופנית'!$B$5:$B$49,D47)</f>
        <v/>
      </c>
      <c r="F47" s="73">
        <f>IF(E47=1,"תקין",IF(E47=0,"חסר","כפול"))</f>
        <v/>
      </c>
      <c r="G47" s="73" t="n"/>
      <c r="H47" s="73" t="n"/>
      <c r="I47" s="73" t="n"/>
      <c r="J47" s="73" t="n"/>
      <c r="K47" s="73" t="n"/>
      <c r="L47" s="74" t="n"/>
    </row>
    <row r="48">
      <c r="A48" s="72" t="inlineStr">
        <is>
          <t>AN-044</t>
        </is>
      </c>
      <c r="B48" s="73">
        <f>COUNTIF('אנמנזה'!$B$5:$B$93,A48)</f>
        <v/>
      </c>
      <c r="C48" s="73">
        <f>IF(B48=1,"תקין",IF(B48=0,"חסר","כפול"))</f>
        <v/>
      </c>
      <c r="D48" s="73" t="inlineStr">
        <is>
          <t>PE-044</t>
        </is>
      </c>
      <c r="E48" s="73">
        <f>COUNTIF('בדיקה_גופנית'!$B$5:$B$49,D48)</f>
        <v/>
      </c>
      <c r="F48" s="73">
        <f>IF(E48=1,"תקין",IF(E48=0,"חסר","כפול"))</f>
        <v/>
      </c>
      <c r="G48" s="73" t="n"/>
      <c r="H48" s="73" t="n"/>
      <c r="I48" s="73" t="n"/>
      <c r="J48" s="73" t="n"/>
      <c r="K48" s="73" t="n"/>
      <c r="L48" s="74" t="n"/>
    </row>
    <row r="49">
      <c r="A49" s="72" t="inlineStr">
        <is>
          <t>AN-045</t>
        </is>
      </c>
      <c r="B49" s="73">
        <f>COUNTIF('אנמנזה'!$B$5:$B$93,A49)</f>
        <v/>
      </c>
      <c r="C49" s="73">
        <f>IF(B49=1,"תקין",IF(B49=0,"חסר","כפול"))</f>
        <v/>
      </c>
      <c r="D49" s="73" t="inlineStr">
        <is>
          <t>PE-045</t>
        </is>
      </c>
      <c r="E49" s="73">
        <f>COUNTIF('בדיקה_גופנית'!$B$5:$B$49,D49)</f>
        <v/>
      </c>
      <c r="F49" s="73">
        <f>IF(E49=1,"תקין",IF(E49=0,"חסר","כפול"))</f>
        <v/>
      </c>
      <c r="G49" s="73" t="n"/>
      <c r="H49" s="73" t="n"/>
      <c r="I49" s="73" t="n"/>
      <c r="J49" s="73" t="n"/>
      <c r="K49" s="73" t="n"/>
      <c r="L49" s="74" t="n"/>
    </row>
    <row r="50">
      <c r="A50" s="72" t="inlineStr">
        <is>
          <t>AN-046</t>
        </is>
      </c>
      <c r="B50" s="73">
        <f>COUNTIF('אנמנזה'!$B$5:$B$93,A50)</f>
        <v/>
      </c>
      <c r="C50" s="73">
        <f>IF(B50=1,"תקין",IF(B50=0,"חסר","כפול"))</f>
        <v/>
      </c>
      <c r="D50" s="73" t="n"/>
      <c r="E50" s="73" t="n"/>
      <c r="F50" s="73" t="n"/>
      <c r="G50" s="73" t="n"/>
      <c r="H50" s="73" t="n"/>
      <c r="I50" s="73" t="n"/>
      <c r="J50" s="73" t="n"/>
      <c r="K50" s="73" t="n"/>
      <c r="L50" s="74" t="n"/>
    </row>
    <row r="51">
      <c r="A51" s="72" t="inlineStr">
        <is>
          <t>AN-047</t>
        </is>
      </c>
      <c r="B51" s="73">
        <f>COUNTIF('אנמנזה'!$B$5:$B$93,A51)</f>
        <v/>
      </c>
      <c r="C51" s="73">
        <f>IF(B51=1,"תקין",IF(B51=0,"חסר","כפול"))</f>
        <v/>
      </c>
      <c r="D51" s="73" t="n"/>
      <c r="E51" s="73" t="n"/>
      <c r="F51" s="73" t="n"/>
      <c r="G51" s="73" t="n"/>
      <c r="H51" s="73" t="n"/>
      <c r="I51" s="73" t="n"/>
      <c r="J51" s="73" t="n"/>
      <c r="K51" s="73" t="n"/>
      <c r="L51" s="74" t="n"/>
    </row>
    <row r="52">
      <c r="A52" s="72" t="inlineStr">
        <is>
          <t>AN-048</t>
        </is>
      </c>
      <c r="B52" s="73">
        <f>COUNTIF('אנמנזה'!$B$5:$B$93,A52)</f>
        <v/>
      </c>
      <c r="C52" s="73">
        <f>IF(B52=1,"תקין",IF(B52=0,"חסר","כפול"))</f>
        <v/>
      </c>
      <c r="D52" s="73" t="n"/>
      <c r="E52" s="73" t="n"/>
      <c r="F52" s="73" t="n"/>
      <c r="G52" s="73" t="n"/>
      <c r="H52" s="73" t="n"/>
      <c r="I52" s="73" t="n"/>
      <c r="J52" s="73" t="n"/>
      <c r="K52" s="73" t="n"/>
      <c r="L52" s="74" t="n"/>
    </row>
    <row r="53">
      <c r="A53" s="72" t="inlineStr">
        <is>
          <t>AN-049</t>
        </is>
      </c>
      <c r="B53" s="73">
        <f>COUNTIF('אנמנזה'!$B$5:$B$93,A53)</f>
        <v/>
      </c>
      <c r="C53" s="73">
        <f>IF(B53=1,"תקין",IF(B53=0,"חסר","כפול"))</f>
        <v/>
      </c>
      <c r="D53" s="73" t="n"/>
      <c r="E53" s="73" t="n"/>
      <c r="F53" s="73" t="n"/>
      <c r="G53" s="73" t="n"/>
      <c r="H53" s="73" t="n"/>
      <c r="I53" s="73" t="n"/>
      <c r="J53" s="73" t="n"/>
      <c r="K53" s="73" t="n"/>
      <c r="L53" s="74" t="n"/>
    </row>
    <row r="54">
      <c r="A54" s="72" t="inlineStr">
        <is>
          <t>AN-050</t>
        </is>
      </c>
      <c r="B54" s="73">
        <f>COUNTIF('אנמנזה'!$B$5:$B$93,A54)</f>
        <v/>
      </c>
      <c r="C54" s="73">
        <f>IF(B54=1,"תקין",IF(B54=0,"חסר","כפול"))</f>
        <v/>
      </c>
      <c r="D54" s="73" t="n"/>
      <c r="E54" s="73" t="n"/>
      <c r="F54" s="73" t="n"/>
      <c r="G54" s="73" t="n"/>
      <c r="H54" s="73" t="n"/>
      <c r="I54" s="73" t="n"/>
      <c r="J54" s="73" t="n"/>
      <c r="K54" s="73" t="n"/>
      <c r="L54" s="74" t="n"/>
    </row>
    <row r="55">
      <c r="A55" s="72" t="inlineStr">
        <is>
          <t>AN-051</t>
        </is>
      </c>
      <c r="B55" s="73">
        <f>COUNTIF('אנמנזה'!$B$5:$B$93,A55)</f>
        <v/>
      </c>
      <c r="C55" s="73">
        <f>IF(B55=1,"תקין",IF(B55=0,"חסר","כפול"))</f>
        <v/>
      </c>
      <c r="D55" s="73" t="n"/>
      <c r="E55" s="73" t="n"/>
      <c r="F55" s="73" t="n"/>
      <c r="G55" s="73" t="n"/>
      <c r="H55" s="73" t="n"/>
      <c r="I55" s="73" t="n"/>
      <c r="J55" s="73" t="n"/>
      <c r="K55" s="73" t="n"/>
      <c r="L55" s="74" t="n"/>
    </row>
    <row r="56">
      <c r="A56" s="72" t="inlineStr">
        <is>
          <t>AN-052</t>
        </is>
      </c>
      <c r="B56" s="73">
        <f>COUNTIF('אנמנזה'!$B$5:$B$93,A56)</f>
        <v/>
      </c>
      <c r="C56" s="73">
        <f>IF(B56=1,"תקין",IF(B56=0,"חסר","כפול"))</f>
        <v/>
      </c>
      <c r="D56" s="73" t="n"/>
      <c r="E56" s="73" t="n"/>
      <c r="F56" s="73" t="n"/>
      <c r="G56" s="73" t="n"/>
      <c r="H56" s="73" t="n"/>
      <c r="I56" s="73" t="n"/>
      <c r="J56" s="73" t="n"/>
      <c r="K56" s="73" t="n"/>
      <c r="L56" s="74" t="n"/>
    </row>
    <row r="57">
      <c r="A57" s="72" t="inlineStr">
        <is>
          <t>AN-053</t>
        </is>
      </c>
      <c r="B57" s="73">
        <f>COUNTIF('אנמנזה'!$B$5:$B$93,A57)</f>
        <v/>
      </c>
      <c r="C57" s="73">
        <f>IF(B57=1,"תקין",IF(B57=0,"חסר","כפול"))</f>
        <v/>
      </c>
      <c r="D57" s="73" t="n"/>
      <c r="E57" s="73" t="n"/>
      <c r="F57" s="73" t="n"/>
      <c r="G57" s="73" t="n"/>
      <c r="H57" s="73" t="n"/>
      <c r="I57" s="73" t="n"/>
      <c r="J57" s="73" t="n"/>
      <c r="K57" s="73" t="n"/>
      <c r="L57" s="74" t="n"/>
    </row>
    <row r="58">
      <c r="A58" s="72" t="inlineStr">
        <is>
          <t>AN-054</t>
        </is>
      </c>
      <c r="B58" s="73">
        <f>COUNTIF('אנמנזה'!$B$5:$B$93,A58)</f>
        <v/>
      </c>
      <c r="C58" s="73">
        <f>IF(B58=1,"תקין",IF(B58=0,"חסר","כפול"))</f>
        <v/>
      </c>
      <c r="D58" s="73" t="n"/>
      <c r="E58" s="73" t="n"/>
      <c r="F58" s="73" t="n"/>
      <c r="G58" s="73" t="n"/>
      <c r="H58" s="73" t="n"/>
      <c r="I58" s="73" t="n"/>
      <c r="J58" s="73" t="n"/>
      <c r="K58" s="73" t="n"/>
      <c r="L58" s="74" t="n"/>
    </row>
    <row r="59">
      <c r="A59" s="72" t="inlineStr">
        <is>
          <t>AN-055</t>
        </is>
      </c>
      <c r="B59" s="73">
        <f>COUNTIF('אנמנזה'!$B$5:$B$93,A59)</f>
        <v/>
      </c>
      <c r="C59" s="73">
        <f>IF(B59=1,"תקין",IF(B59=0,"חסר","כפול"))</f>
        <v/>
      </c>
      <c r="D59" s="73" t="n"/>
      <c r="E59" s="73" t="n"/>
      <c r="F59" s="73" t="n"/>
      <c r="G59" s="73" t="n"/>
      <c r="H59" s="73" t="n"/>
      <c r="I59" s="73" t="n"/>
      <c r="J59" s="73" t="n"/>
      <c r="K59" s="73" t="n"/>
      <c r="L59" s="74" t="n"/>
    </row>
    <row r="60">
      <c r="A60" s="72" t="inlineStr">
        <is>
          <t>AN-056</t>
        </is>
      </c>
      <c r="B60" s="73">
        <f>COUNTIF('אנמנזה'!$B$5:$B$93,A60)</f>
        <v/>
      </c>
      <c r="C60" s="73">
        <f>IF(B60=1,"תקין",IF(B60=0,"חסר","כפול"))</f>
        <v/>
      </c>
      <c r="D60" s="73" t="n"/>
      <c r="E60" s="73" t="n"/>
      <c r="F60" s="73" t="n"/>
      <c r="G60" s="73" t="n"/>
      <c r="H60" s="73" t="n"/>
      <c r="I60" s="73" t="n"/>
      <c r="J60" s="73" t="n"/>
      <c r="K60" s="73" t="n"/>
      <c r="L60" s="74" t="n"/>
    </row>
    <row r="61">
      <c r="A61" s="72" t="inlineStr">
        <is>
          <t>AN-057</t>
        </is>
      </c>
      <c r="B61" s="73">
        <f>COUNTIF('אנמנזה'!$B$5:$B$93,A61)</f>
        <v/>
      </c>
      <c r="C61" s="73">
        <f>IF(B61=1,"תקין",IF(B61=0,"חסר","כפול"))</f>
        <v/>
      </c>
      <c r="D61" s="73" t="n"/>
      <c r="E61" s="73" t="n"/>
      <c r="F61" s="73" t="n"/>
      <c r="G61" s="73" t="n"/>
      <c r="H61" s="73" t="n"/>
      <c r="I61" s="73" t="n"/>
      <c r="J61" s="73" t="n"/>
      <c r="K61" s="73" t="n"/>
      <c r="L61" s="74" t="n"/>
    </row>
    <row r="62">
      <c r="A62" s="72" t="inlineStr">
        <is>
          <t>AN-058</t>
        </is>
      </c>
      <c r="B62" s="73">
        <f>COUNTIF('אנמנזה'!$B$5:$B$93,A62)</f>
        <v/>
      </c>
      <c r="C62" s="73">
        <f>IF(B62=1,"תקין",IF(B62=0,"חסר","כפול"))</f>
        <v/>
      </c>
      <c r="D62" s="73" t="n"/>
      <c r="E62" s="73" t="n"/>
      <c r="F62" s="73" t="n"/>
      <c r="G62" s="73" t="n"/>
      <c r="H62" s="73" t="n"/>
      <c r="I62" s="73" t="n"/>
      <c r="J62" s="73" t="n"/>
      <c r="K62" s="73" t="n"/>
      <c r="L62" s="74" t="n"/>
    </row>
    <row r="63">
      <c r="A63" s="72" t="inlineStr">
        <is>
          <t>AN-059</t>
        </is>
      </c>
      <c r="B63" s="73">
        <f>COUNTIF('אנמנזה'!$B$5:$B$93,A63)</f>
        <v/>
      </c>
      <c r="C63" s="73">
        <f>IF(B63=1,"תקין",IF(B63=0,"חסר","כפול"))</f>
        <v/>
      </c>
      <c r="D63" s="73" t="n"/>
      <c r="E63" s="73" t="n"/>
      <c r="F63" s="73" t="n"/>
      <c r="G63" s="73" t="n"/>
      <c r="H63" s="73" t="n"/>
      <c r="I63" s="73" t="n"/>
      <c r="J63" s="73" t="n"/>
      <c r="K63" s="73" t="n"/>
      <c r="L63" s="74" t="n"/>
    </row>
    <row r="64">
      <c r="A64" s="72" t="inlineStr">
        <is>
          <t>AN-060</t>
        </is>
      </c>
      <c r="B64" s="73">
        <f>COUNTIF('אנמנזה'!$B$5:$B$93,A64)</f>
        <v/>
      </c>
      <c r="C64" s="73">
        <f>IF(B64=1,"תקין",IF(B64=0,"חסר","כפול"))</f>
        <v/>
      </c>
      <c r="D64" s="73" t="n"/>
      <c r="E64" s="73" t="n"/>
      <c r="F64" s="73" t="n"/>
      <c r="G64" s="73" t="n"/>
      <c r="H64" s="73" t="n"/>
      <c r="I64" s="73" t="n"/>
      <c r="J64" s="73" t="n"/>
      <c r="K64" s="73" t="n"/>
      <c r="L64" s="74" t="n"/>
    </row>
    <row r="65">
      <c r="A65" s="72" t="inlineStr">
        <is>
          <t>AN-061</t>
        </is>
      </c>
      <c r="B65" s="73">
        <f>COUNTIF('אנמנזה'!$B$5:$B$93,A65)</f>
        <v/>
      </c>
      <c r="C65" s="73">
        <f>IF(B65=1,"תקין",IF(B65=0,"חסר","כפול"))</f>
        <v/>
      </c>
      <c r="D65" s="73" t="n"/>
      <c r="E65" s="73" t="n"/>
      <c r="F65" s="73" t="n"/>
      <c r="G65" s="73" t="n"/>
      <c r="H65" s="73" t="n"/>
      <c r="I65" s="73" t="n"/>
      <c r="J65" s="73" t="n"/>
      <c r="K65" s="73" t="n"/>
      <c r="L65" s="74" t="n"/>
    </row>
    <row r="66">
      <c r="A66" s="72" t="inlineStr">
        <is>
          <t>AN-062</t>
        </is>
      </c>
      <c r="B66" s="73">
        <f>COUNTIF('אנמנזה'!$B$5:$B$93,A66)</f>
        <v/>
      </c>
      <c r="C66" s="73">
        <f>IF(B66=1,"תקין",IF(B66=0,"חסר","כפול"))</f>
        <v/>
      </c>
      <c r="D66" s="73" t="n"/>
      <c r="E66" s="73" t="n"/>
      <c r="F66" s="73" t="n"/>
      <c r="G66" s="73" t="n"/>
      <c r="H66" s="73" t="n"/>
      <c r="I66" s="73" t="n"/>
      <c r="J66" s="73" t="n"/>
      <c r="K66" s="73" t="n"/>
      <c r="L66" s="74" t="n"/>
    </row>
    <row r="67">
      <c r="A67" s="72" t="inlineStr">
        <is>
          <t>AN-063</t>
        </is>
      </c>
      <c r="B67" s="73">
        <f>COUNTIF('אנמנזה'!$B$5:$B$93,A67)</f>
        <v/>
      </c>
      <c r="C67" s="73">
        <f>IF(B67=1,"תקין",IF(B67=0,"חסר","כפול"))</f>
        <v/>
      </c>
      <c r="D67" s="73" t="n"/>
      <c r="E67" s="73" t="n"/>
      <c r="F67" s="73" t="n"/>
      <c r="G67" s="73" t="n"/>
      <c r="H67" s="73" t="n"/>
      <c r="I67" s="73" t="n"/>
      <c r="J67" s="73" t="n"/>
      <c r="K67" s="73" t="n"/>
      <c r="L67" s="74" t="n"/>
    </row>
    <row r="68">
      <c r="A68" s="72" t="inlineStr">
        <is>
          <t>AN-064</t>
        </is>
      </c>
      <c r="B68" s="73">
        <f>COUNTIF('אנמנזה'!$B$5:$B$93,A68)</f>
        <v/>
      </c>
      <c r="C68" s="73">
        <f>IF(B68=1,"תקין",IF(B68=0,"חסר","כפול"))</f>
        <v/>
      </c>
      <c r="D68" s="73" t="n"/>
      <c r="E68" s="73" t="n"/>
      <c r="F68" s="73" t="n"/>
      <c r="G68" s="73" t="n"/>
      <c r="H68" s="73" t="n"/>
      <c r="I68" s="73" t="n"/>
      <c r="J68" s="73" t="n"/>
      <c r="K68" s="73" t="n"/>
      <c r="L68" s="74" t="n"/>
    </row>
    <row r="69">
      <c r="A69" s="72" t="inlineStr">
        <is>
          <t>AN-065</t>
        </is>
      </c>
      <c r="B69" s="73">
        <f>COUNTIF('אנמנזה'!$B$5:$B$93,A69)</f>
        <v/>
      </c>
      <c r="C69" s="73">
        <f>IF(B69=1,"תקין",IF(B69=0,"חסר","כפול"))</f>
        <v/>
      </c>
      <c r="D69" s="73" t="n"/>
      <c r="E69" s="73" t="n"/>
      <c r="F69" s="73" t="n"/>
      <c r="G69" s="73" t="n"/>
      <c r="H69" s="73" t="n"/>
      <c r="I69" s="73" t="n"/>
      <c r="J69" s="73" t="n"/>
      <c r="K69" s="73" t="n"/>
      <c r="L69" s="74" t="n"/>
    </row>
    <row r="70">
      <c r="A70" s="72" t="inlineStr">
        <is>
          <t>AN-066</t>
        </is>
      </c>
      <c r="B70" s="73">
        <f>COUNTIF('אנמנזה'!$B$5:$B$93,A70)</f>
        <v/>
      </c>
      <c r="C70" s="73">
        <f>IF(B70=1,"תקין",IF(B70=0,"חסר","כפול"))</f>
        <v/>
      </c>
      <c r="D70" s="73" t="n"/>
      <c r="E70" s="73" t="n"/>
      <c r="F70" s="73" t="n"/>
      <c r="G70" s="73" t="n"/>
      <c r="H70" s="73" t="n"/>
      <c r="I70" s="73" t="n"/>
      <c r="J70" s="73" t="n"/>
      <c r="K70" s="73" t="n"/>
      <c r="L70" s="74" t="n"/>
    </row>
    <row r="71">
      <c r="A71" s="72" t="inlineStr">
        <is>
          <t>AN-067</t>
        </is>
      </c>
      <c r="B71" s="73">
        <f>COUNTIF('אנמנזה'!$B$5:$B$93,A71)</f>
        <v/>
      </c>
      <c r="C71" s="73">
        <f>IF(B71=1,"תקין",IF(B71=0,"חסר","כפול"))</f>
        <v/>
      </c>
      <c r="D71" s="73" t="n"/>
      <c r="E71" s="73" t="n"/>
      <c r="F71" s="73" t="n"/>
      <c r="G71" s="73" t="n"/>
      <c r="H71" s="73" t="n"/>
      <c r="I71" s="73" t="n"/>
      <c r="J71" s="73" t="n"/>
      <c r="K71" s="73" t="n"/>
      <c r="L71" s="74" t="n"/>
    </row>
    <row r="72">
      <c r="A72" s="72" t="inlineStr">
        <is>
          <t>AN-068</t>
        </is>
      </c>
      <c r="B72" s="73">
        <f>COUNTIF('אנמנזה'!$B$5:$B$93,A72)</f>
        <v/>
      </c>
      <c r="C72" s="73">
        <f>IF(B72=1,"תקין",IF(B72=0,"חסר","כפול"))</f>
        <v/>
      </c>
      <c r="D72" s="73" t="n"/>
      <c r="E72" s="73" t="n"/>
      <c r="F72" s="73" t="n"/>
      <c r="G72" s="73" t="n"/>
      <c r="H72" s="73" t="n"/>
      <c r="I72" s="73" t="n"/>
      <c r="J72" s="73" t="n"/>
      <c r="K72" s="73" t="n"/>
      <c r="L72" s="74" t="n"/>
    </row>
    <row r="73">
      <c r="A73" s="72" t="inlineStr">
        <is>
          <t>AN-069</t>
        </is>
      </c>
      <c r="B73" s="73">
        <f>COUNTIF('אנמנזה'!$B$5:$B$93,A73)</f>
        <v/>
      </c>
      <c r="C73" s="73">
        <f>IF(B73=1,"תקין",IF(B73=0,"חסר","כפול"))</f>
        <v/>
      </c>
      <c r="D73" s="73" t="n"/>
      <c r="E73" s="73" t="n"/>
      <c r="F73" s="73" t="n"/>
      <c r="G73" s="73" t="n"/>
      <c r="H73" s="73" t="n"/>
      <c r="I73" s="73" t="n"/>
      <c r="J73" s="73" t="n"/>
      <c r="K73" s="73" t="n"/>
      <c r="L73" s="74" t="n"/>
    </row>
    <row r="74">
      <c r="A74" s="72" t="inlineStr">
        <is>
          <t>AN-070</t>
        </is>
      </c>
      <c r="B74" s="73">
        <f>COUNTIF('אנמנזה'!$B$5:$B$93,A74)</f>
        <v/>
      </c>
      <c r="C74" s="73">
        <f>IF(B74=1,"תקין",IF(B74=0,"חסר","כפול"))</f>
        <v/>
      </c>
      <c r="D74" s="73" t="n"/>
      <c r="E74" s="73" t="n"/>
      <c r="F74" s="73" t="n"/>
      <c r="G74" s="73" t="n"/>
      <c r="H74" s="73" t="n"/>
      <c r="I74" s="73" t="n"/>
      <c r="J74" s="73" t="n"/>
      <c r="K74" s="73" t="n"/>
      <c r="L74" s="74" t="n"/>
    </row>
    <row r="75">
      <c r="A75" s="72" t="inlineStr">
        <is>
          <t>AN-071</t>
        </is>
      </c>
      <c r="B75" s="73">
        <f>COUNTIF('אנמנזה'!$B$5:$B$93,A75)</f>
        <v/>
      </c>
      <c r="C75" s="73">
        <f>IF(B75=1,"תקין",IF(B75=0,"חסר","כפול"))</f>
        <v/>
      </c>
      <c r="D75" s="73" t="n"/>
      <c r="E75" s="73" t="n"/>
      <c r="F75" s="73" t="n"/>
      <c r="G75" s="73" t="n"/>
      <c r="H75" s="73" t="n"/>
      <c r="I75" s="73" t="n"/>
      <c r="J75" s="73" t="n"/>
      <c r="K75" s="73" t="n"/>
      <c r="L75" s="74" t="n"/>
    </row>
    <row r="76">
      <c r="A76" s="72" t="inlineStr">
        <is>
          <t>AN-072</t>
        </is>
      </c>
      <c r="B76" s="73">
        <f>COUNTIF('אנמנזה'!$B$5:$B$93,A76)</f>
        <v/>
      </c>
      <c r="C76" s="73">
        <f>IF(B76=1,"תקין",IF(B76=0,"חסר","כפול"))</f>
        <v/>
      </c>
      <c r="D76" s="73" t="n"/>
      <c r="E76" s="73" t="n"/>
      <c r="F76" s="73" t="n"/>
      <c r="G76" s="73" t="n"/>
      <c r="H76" s="73" t="n"/>
      <c r="I76" s="73" t="n"/>
      <c r="J76" s="73" t="n"/>
      <c r="K76" s="73" t="n"/>
      <c r="L76" s="74" t="n"/>
    </row>
    <row r="77">
      <c r="A77" s="72" t="inlineStr">
        <is>
          <t>AN-073</t>
        </is>
      </c>
      <c r="B77" s="73">
        <f>COUNTIF('אנמנזה'!$B$5:$B$93,A77)</f>
        <v/>
      </c>
      <c r="C77" s="73">
        <f>IF(B77=1,"תקין",IF(B77=0,"חסר","כפול"))</f>
        <v/>
      </c>
      <c r="D77" s="73" t="n"/>
      <c r="E77" s="73" t="n"/>
      <c r="F77" s="73" t="n"/>
      <c r="G77" s="73" t="n"/>
      <c r="H77" s="73" t="n"/>
      <c r="I77" s="73" t="n"/>
      <c r="J77" s="73" t="n"/>
      <c r="K77" s="73" t="n"/>
      <c r="L77" s="74" t="n"/>
    </row>
    <row r="78">
      <c r="A78" s="72" t="inlineStr">
        <is>
          <t>AN-074</t>
        </is>
      </c>
      <c r="B78" s="73">
        <f>COUNTIF('אנמנזה'!$B$5:$B$93,A78)</f>
        <v/>
      </c>
      <c r="C78" s="73">
        <f>IF(B78=1,"תקין",IF(B78=0,"חסר","כפול"))</f>
        <v/>
      </c>
      <c r="D78" s="73" t="n"/>
      <c r="E78" s="73" t="n"/>
      <c r="F78" s="73" t="n"/>
      <c r="G78" s="73" t="n"/>
      <c r="H78" s="73" t="n"/>
      <c r="I78" s="73" t="n"/>
      <c r="J78" s="73" t="n"/>
      <c r="K78" s="73" t="n"/>
      <c r="L78" s="74" t="n"/>
    </row>
    <row r="79">
      <c r="A79" s="72" t="inlineStr">
        <is>
          <t>AN-075</t>
        </is>
      </c>
      <c r="B79" s="73">
        <f>COUNTIF('אנמנזה'!$B$5:$B$93,A79)</f>
        <v/>
      </c>
      <c r="C79" s="73">
        <f>IF(B79=1,"תקין",IF(B79=0,"חסר","כפול"))</f>
        <v/>
      </c>
      <c r="D79" s="73" t="n"/>
      <c r="E79" s="73" t="n"/>
      <c r="F79" s="73" t="n"/>
      <c r="G79" s="73" t="n"/>
      <c r="H79" s="73" t="n"/>
      <c r="I79" s="73" t="n"/>
      <c r="J79" s="73" t="n"/>
      <c r="K79" s="73" t="n"/>
      <c r="L79" s="74" t="n"/>
    </row>
    <row r="80">
      <c r="A80" s="72" t="inlineStr">
        <is>
          <t>AN-076</t>
        </is>
      </c>
      <c r="B80" s="73">
        <f>COUNTIF('אנמנזה'!$B$5:$B$93,A80)</f>
        <v/>
      </c>
      <c r="C80" s="73">
        <f>IF(B80=1,"תקין",IF(B80=0,"חסר","כפול"))</f>
        <v/>
      </c>
      <c r="D80" s="73" t="n"/>
      <c r="E80" s="73" t="n"/>
      <c r="F80" s="73" t="n"/>
      <c r="G80" s="73" t="n"/>
      <c r="H80" s="73" t="n"/>
      <c r="I80" s="73" t="n"/>
      <c r="J80" s="73" t="n"/>
      <c r="K80" s="73" t="n"/>
      <c r="L80" s="74" t="n"/>
    </row>
    <row r="81">
      <c r="A81" s="72" t="inlineStr">
        <is>
          <t>AN-077</t>
        </is>
      </c>
      <c r="B81" s="73">
        <f>COUNTIF('אנמנזה'!$B$5:$B$93,A81)</f>
        <v/>
      </c>
      <c r="C81" s="73">
        <f>IF(B81=1,"תקין",IF(B81=0,"חסר","כפול"))</f>
        <v/>
      </c>
      <c r="D81" s="73" t="n"/>
      <c r="E81" s="73" t="n"/>
      <c r="F81" s="73" t="n"/>
      <c r="G81" s="73" t="n"/>
      <c r="H81" s="73" t="n"/>
      <c r="I81" s="73" t="n"/>
      <c r="J81" s="73" t="n"/>
      <c r="K81" s="73" t="n"/>
      <c r="L81" s="74" t="n"/>
    </row>
    <row r="82">
      <c r="A82" s="72" t="inlineStr">
        <is>
          <t>AN-078</t>
        </is>
      </c>
      <c r="B82" s="73">
        <f>COUNTIF('אנמנזה'!$B$5:$B$93,A82)</f>
        <v/>
      </c>
      <c r="C82" s="73">
        <f>IF(B82=1,"תקין",IF(B82=0,"חסר","כפול"))</f>
        <v/>
      </c>
      <c r="D82" s="73" t="n"/>
      <c r="E82" s="73" t="n"/>
      <c r="F82" s="73" t="n"/>
      <c r="G82" s="73" t="n"/>
      <c r="H82" s="73" t="n"/>
      <c r="I82" s="73" t="n"/>
      <c r="J82" s="73" t="n"/>
      <c r="K82" s="73" t="n"/>
      <c r="L82" s="74" t="n"/>
    </row>
    <row r="83">
      <c r="A83" s="72" t="inlineStr">
        <is>
          <t>AN-079</t>
        </is>
      </c>
      <c r="B83" s="73">
        <f>COUNTIF('אנמנזה'!$B$5:$B$93,A83)</f>
        <v/>
      </c>
      <c r="C83" s="73">
        <f>IF(B83=1,"תקין",IF(B83=0,"חסר","כפול"))</f>
        <v/>
      </c>
      <c r="D83" s="73" t="n"/>
      <c r="E83" s="73" t="n"/>
      <c r="F83" s="73" t="n"/>
      <c r="G83" s="73" t="n"/>
      <c r="H83" s="73" t="n"/>
      <c r="I83" s="73" t="n"/>
      <c r="J83" s="73" t="n"/>
      <c r="K83" s="73" t="n"/>
      <c r="L83" s="74" t="n"/>
    </row>
    <row r="84">
      <c r="A84" s="72" t="inlineStr">
        <is>
          <t>AN-080</t>
        </is>
      </c>
      <c r="B84" s="73">
        <f>COUNTIF('אנמנזה'!$B$5:$B$93,A84)</f>
        <v/>
      </c>
      <c r="C84" s="73">
        <f>IF(B84=1,"תקין",IF(B84=0,"חסר","כפול"))</f>
        <v/>
      </c>
      <c r="D84" s="73" t="n"/>
      <c r="E84" s="73" t="n"/>
      <c r="F84" s="73" t="n"/>
      <c r="G84" s="73" t="n"/>
      <c r="H84" s="73" t="n"/>
      <c r="I84" s="73" t="n"/>
      <c r="J84" s="73" t="n"/>
      <c r="K84" s="73" t="n"/>
      <c r="L84" s="74" t="n"/>
    </row>
    <row r="85">
      <c r="A85" s="72" t="inlineStr">
        <is>
          <t>AN-081</t>
        </is>
      </c>
      <c r="B85" s="73">
        <f>COUNTIF('אנמנזה'!$B$5:$B$93,A85)</f>
        <v/>
      </c>
      <c r="C85" s="73">
        <f>IF(B85=1,"תקין",IF(B85=0,"חסר","כפול"))</f>
        <v/>
      </c>
      <c r="D85" s="73" t="n"/>
      <c r="E85" s="73" t="n"/>
      <c r="F85" s="73" t="n"/>
      <c r="G85" s="73" t="n"/>
      <c r="H85" s="73" t="n"/>
      <c r="I85" s="73" t="n"/>
      <c r="J85" s="73" t="n"/>
      <c r="K85" s="73" t="n"/>
      <c r="L85" s="74" t="n"/>
    </row>
    <row r="86">
      <c r="A86" s="72" t="inlineStr">
        <is>
          <t>AN-082</t>
        </is>
      </c>
      <c r="B86" s="73">
        <f>COUNTIF('אנמנזה'!$B$5:$B$93,A86)</f>
        <v/>
      </c>
      <c r="C86" s="73">
        <f>IF(B86=1,"תקין",IF(B86=0,"חסר","כפול"))</f>
        <v/>
      </c>
      <c r="D86" s="73" t="n"/>
      <c r="E86" s="73" t="n"/>
      <c r="F86" s="73" t="n"/>
      <c r="G86" s="73" t="n"/>
      <c r="H86" s="73" t="n"/>
      <c r="I86" s="73" t="n"/>
      <c r="J86" s="73" t="n"/>
      <c r="K86" s="73" t="n"/>
      <c r="L86" s="74" t="n"/>
    </row>
    <row r="87">
      <c r="A87" s="72" t="inlineStr">
        <is>
          <t>AN-083</t>
        </is>
      </c>
      <c r="B87" s="73">
        <f>COUNTIF('אנמנזה'!$B$5:$B$93,A87)</f>
        <v/>
      </c>
      <c r="C87" s="73">
        <f>IF(B87=1,"תקין",IF(B87=0,"חסר","כפול"))</f>
        <v/>
      </c>
      <c r="D87" s="73" t="n"/>
      <c r="E87" s="73" t="n"/>
      <c r="F87" s="73" t="n"/>
      <c r="G87" s="73" t="n"/>
      <c r="H87" s="73" t="n"/>
      <c r="I87" s="73" t="n"/>
      <c r="J87" s="73" t="n"/>
      <c r="K87" s="73" t="n"/>
      <c r="L87" s="74" t="n"/>
    </row>
    <row r="88">
      <c r="A88" s="72" t="inlineStr">
        <is>
          <t>AN-084</t>
        </is>
      </c>
      <c r="B88" s="73">
        <f>COUNTIF('אנמנזה'!$B$5:$B$93,A88)</f>
        <v/>
      </c>
      <c r="C88" s="73">
        <f>IF(B88=1,"תקין",IF(B88=0,"חסר","כפול"))</f>
        <v/>
      </c>
      <c r="D88" s="73" t="n"/>
      <c r="E88" s="73" t="n"/>
      <c r="F88" s="73" t="n"/>
      <c r="G88" s="73" t="n"/>
      <c r="H88" s="73" t="n"/>
      <c r="I88" s="73" t="n"/>
      <c r="J88" s="73" t="n"/>
      <c r="K88" s="73" t="n"/>
      <c r="L88" s="74" t="n"/>
    </row>
    <row r="89">
      <c r="A89" s="72" t="inlineStr">
        <is>
          <t>AN-085</t>
        </is>
      </c>
      <c r="B89" s="73">
        <f>COUNTIF('אנמנזה'!$B$5:$B$93,A89)</f>
        <v/>
      </c>
      <c r="C89" s="73">
        <f>IF(B89=1,"תקין",IF(B89=0,"חסר","כפול"))</f>
        <v/>
      </c>
      <c r="D89" s="73" t="n"/>
      <c r="E89" s="73" t="n"/>
      <c r="F89" s="73" t="n"/>
      <c r="G89" s="73" t="n"/>
      <c r="H89" s="73" t="n"/>
      <c r="I89" s="73" t="n"/>
      <c r="J89" s="73" t="n"/>
      <c r="K89" s="73" t="n"/>
      <c r="L89" s="74" t="n"/>
    </row>
    <row r="90">
      <c r="A90" s="72" t="inlineStr">
        <is>
          <t>AN-086</t>
        </is>
      </c>
      <c r="B90" s="73">
        <f>COUNTIF('אנמנזה'!$B$5:$B$93,A90)</f>
        <v/>
      </c>
      <c r="C90" s="73">
        <f>IF(B90=1,"תקין",IF(B90=0,"חסר","כפול"))</f>
        <v/>
      </c>
      <c r="D90" s="73" t="n"/>
      <c r="E90" s="73" t="n"/>
      <c r="F90" s="73" t="n"/>
      <c r="G90" s="73" t="n"/>
      <c r="H90" s="73" t="n"/>
      <c r="I90" s="73" t="n"/>
      <c r="J90" s="73" t="n"/>
      <c r="K90" s="73" t="n"/>
      <c r="L90" s="74" t="n"/>
    </row>
    <row r="91">
      <c r="A91" s="72" t="inlineStr">
        <is>
          <t>AN-087</t>
        </is>
      </c>
      <c r="B91" s="73">
        <f>COUNTIF('אנמנזה'!$B$5:$B$93,A91)</f>
        <v/>
      </c>
      <c r="C91" s="73">
        <f>IF(B91=1,"תקין",IF(B91=0,"חסר","כפול"))</f>
        <v/>
      </c>
      <c r="D91" s="73" t="n"/>
      <c r="E91" s="73" t="n"/>
      <c r="F91" s="73" t="n"/>
      <c r="G91" s="73" t="n"/>
      <c r="H91" s="73" t="n"/>
      <c r="I91" s="73" t="n"/>
      <c r="J91" s="73" t="n"/>
      <c r="K91" s="73" t="n"/>
      <c r="L91" s="74" t="n"/>
    </row>
    <row r="92">
      <c r="A92" s="72" t="inlineStr">
        <is>
          <t>AN-088</t>
        </is>
      </c>
      <c r="B92" s="73">
        <f>COUNTIF('אנמנזה'!$B$5:$B$93,A92)</f>
        <v/>
      </c>
      <c r="C92" s="73">
        <f>IF(B92=1,"תקין",IF(B92=0,"חסר","כפול"))</f>
        <v/>
      </c>
      <c r="D92" s="73" t="n"/>
      <c r="E92" s="73" t="n"/>
      <c r="F92" s="73" t="n"/>
      <c r="G92" s="73" t="n"/>
      <c r="H92" s="73" t="n"/>
      <c r="I92" s="73" t="n"/>
      <c r="J92" s="73" t="n"/>
      <c r="K92" s="73" t="n"/>
      <c r="L92" s="74" t="n"/>
    </row>
    <row r="93">
      <c r="A93" s="75" t="inlineStr">
        <is>
          <t>AN-089</t>
        </is>
      </c>
      <c r="B93" s="76">
        <f>COUNTIF('אנמנזה'!$B$5:$B$93,A93)</f>
        <v/>
      </c>
      <c r="C93" s="76">
        <f>IF(B93=1,"תקין",IF(B93=0,"חסר","כפול"))</f>
        <v/>
      </c>
      <c r="D93" s="76" t="n"/>
      <c r="E93" s="76" t="n"/>
      <c r="F93" s="76" t="n"/>
      <c r="G93" s="76" t="n"/>
      <c r="H93" s="76" t="n"/>
      <c r="I93" s="76" t="n"/>
      <c r="J93" s="76" t="n"/>
      <c r="K93" s="76" t="n"/>
      <c r="L93" s="77" t="n"/>
    </row>
  </sheetData>
  <mergeCells count="2">
    <mergeCell ref="A2:L2"/>
    <mergeCell ref="A1:L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22" customWidth="1" min="1" max="1"/>
    <col width="12" customWidth="1" min="2" max="2"/>
    <col width="15" customWidth="1" min="3" max="3"/>
    <col width="15" customWidth="1" min="4" max="4"/>
    <col width="14" customWidth="1" min="5" max="5"/>
    <col width="14" customWidth="1" min="6" max="6"/>
    <col width="18" customWidth="1" min="7" max="7"/>
    <col width="18" customWidth="1" min="8" max="8"/>
  </cols>
  <sheetData>
    <row r="1" ht="30" customHeight="1">
      <c r="A1" s="83" t="inlineStr">
        <is>
          <t>בקרת איכות אוטומטית</t>
        </is>
      </c>
    </row>
    <row r="2" ht="34" customHeight="1">
      <c r="A2" s="88" t="inlineStr">
        <is>
          <t>בדיקות מבנה, שיוך מזהים, מקור אמת יחיד לערכים מספריים והשלמת פרסונה.</t>
        </is>
      </c>
    </row>
    <row r="3"/>
    <row r="4" ht="38" customHeight="1">
      <c r="A4" s="94" t="inlineStr">
        <is>
          <t>תחום</t>
        </is>
      </c>
      <c r="B4" s="94" t="inlineStr">
        <is>
          <t>צפוי</t>
        </is>
      </c>
      <c r="C4" s="94" t="inlineStr">
        <is>
          <t>מזהים בפועל</t>
        </is>
      </c>
      <c r="D4" s="94" t="inlineStr">
        <is>
          <t>מזהים כפולים</t>
        </is>
      </c>
      <c r="E4" s="94" t="inlineStr">
        <is>
          <t>מזהים זרים</t>
        </is>
      </c>
      <c r="F4" s="94" t="inlineStr">
        <is>
          <t>מזהים חסרים</t>
        </is>
      </c>
      <c r="G4" s="94" t="inlineStr">
        <is>
          <t>שורות טיוטה/חסרות</t>
        </is>
      </c>
      <c r="H4" s="94" t="inlineStr">
        <is>
          <t>סטטוס מבנה</t>
        </is>
      </c>
    </row>
    <row r="5">
      <c r="A5" s="114" t="inlineStr">
        <is>
          <t>אנמנזה</t>
        </is>
      </c>
      <c r="B5" s="115" t="n">
        <v>89</v>
      </c>
      <c r="C5" s="115">
        <f>COUNTA('אנמנזה'!$B$5:$B$93)</f>
        <v/>
      </c>
      <c r="D5" s="115">
        <f>SUMPRODUCT(--(COUNTIF('אנמנזה'!$B$5:$B$93,'אנמנזה'!$B$5:$B$93)&gt;1))</f>
        <v/>
      </c>
      <c r="E5" s="115">
        <f>MAX(0,C5-SUM('מילון_מזהים'!$B$5:$B$93))</f>
        <v/>
      </c>
      <c r="F5" s="115">
        <f>COUNTIF('מילון_מזהים'!$B$5:$B$93,0)</f>
        <v/>
      </c>
      <c r="G5" s="115">
        <f>COUNTIF('אנמנזה'!$G$5:$G$93,"טיוטה")</f>
        <v/>
      </c>
      <c r="H5" s="116">
        <f>IF(AND(C5=B5,D5=0,E5=0,F5=0),"תקין","דורש בדיקה")</f>
        <v/>
      </c>
    </row>
    <row r="6">
      <c r="A6" s="117" t="inlineStr">
        <is>
          <t>בדיקה גופנית</t>
        </is>
      </c>
      <c r="B6" s="118" t="n">
        <v>45</v>
      </c>
      <c r="C6" s="118">
        <f>COUNTA('בדיקה_גופנית'!$B$5:$B$49)</f>
        <v/>
      </c>
      <c r="D6" s="118">
        <f>SUMPRODUCT(--(COUNTIF('בדיקה_גופנית'!$B$5:$B$49,'בדיקה_גופנית'!$B$5:$B$49)&gt;1))</f>
        <v/>
      </c>
      <c r="E6" s="118">
        <f>MAX(0,C6-SUM('מילון_מזהים'!$E$5:$E$49))</f>
        <v/>
      </c>
      <c r="F6" s="118">
        <f>COUNTIF('מילון_מזהים'!$E$5:$E$49,0)</f>
        <v/>
      </c>
      <c r="G6" s="118">
        <f>COUNTIF('בדיקה_גופנית'!$G$5:$G$49,"טיוטה")</f>
        <v/>
      </c>
      <c r="H6" s="119">
        <f>IF(AND(C6=B6,D6=0,E6=0,F6=0),"תקין","דורש בדיקה")</f>
        <v/>
      </c>
    </row>
    <row r="7">
      <c r="A7" s="117" t="inlineStr">
        <is>
          <t>בדיקות מיידיות</t>
        </is>
      </c>
      <c r="B7" s="118" t="n">
        <v>33</v>
      </c>
      <c r="C7" s="118">
        <f>COUNTA('בדיקות_מיידיות'!$B$5:$B$37)</f>
        <v/>
      </c>
      <c r="D7" s="118">
        <f>SUMPRODUCT(--(COUNTIF('בדיקות_מיידיות'!$B$5:$B$37,'בדיקות_מיידיות'!$B$5:$B$37)&gt;1))</f>
        <v/>
      </c>
      <c r="E7" s="118">
        <f>MAX(0,C7-SUM('מילון_מזהים'!$H$5:$H$37))</f>
        <v/>
      </c>
      <c r="F7" s="118">
        <f>COUNTIF('מילון_מזהים'!$H$5:$H$37,0)</f>
        <v/>
      </c>
      <c r="G7" s="118">
        <f>COUNTIF('בדיקות_מיידיות'!$K$5:$K$37,"טיוטה")</f>
        <v/>
      </c>
      <c r="H7" s="119">
        <f>IF(AND(C7=B7,D7=0,E7=0,F7=0),"תקין","דורש בדיקה")</f>
        <v/>
      </c>
    </row>
    <row r="8">
      <c r="A8" s="117" t="inlineStr">
        <is>
          <t>בדיקות המשך</t>
        </is>
      </c>
      <c r="B8" s="118" t="n">
        <v>9</v>
      </c>
      <c r="C8" s="118">
        <f>COUNTA('בדיקות_המשך'!$B$5:$B$13)</f>
        <v/>
      </c>
      <c r="D8" s="118">
        <f>SUMPRODUCT(--(COUNTIF('בדיקות_המשך'!$B$5:$B$13,'בדיקות_המשך'!$B$5:$B$13)&gt;1))</f>
        <v/>
      </c>
      <c r="E8" s="118">
        <f>MAX(0,C8-SUM('מילון_מזהים'!$K$5:$K$13))</f>
        <v/>
      </c>
      <c r="F8" s="118">
        <f>COUNTIF('מילון_מזהים'!$K$5:$K$13,0)</f>
        <v/>
      </c>
      <c r="G8" s="118">
        <f>COUNTIF('בדיקות_המשך'!$I$5:$I$13,"טיוטה")</f>
        <v/>
      </c>
      <c r="H8" s="119">
        <f>IF(AND(C8=B8,D8=0,E8=0,F8=0),"תקין","דורש בדיקה")</f>
        <v/>
      </c>
    </row>
    <row r="9">
      <c r="A9" s="120" t="inlineStr">
        <is>
          <t>מדדים מספריים</t>
        </is>
      </c>
      <c r="B9" s="121" t="n">
        <v>32</v>
      </c>
      <c r="C9" s="121">
        <f>COUNTA('תוצאות_מספריות'!$A$5:$A$36)</f>
        <v/>
      </c>
      <c r="D9" s="121">
        <f>SUMPRODUCT(--(COUNTIF('תוצאות_מספריות'!$A$5:$A$36,'תוצאות_מספריות'!$A$5:$A$36)&gt;1))</f>
        <v/>
      </c>
      <c r="E9" s="121">
        <f>MAX(0,C9-SUM('מדדים_מספריים'!$G$5:$G$36))</f>
        <v/>
      </c>
      <c r="F9" s="121">
        <f>COUNTIF('מדדים_מספריים'!$G$5:$G$36,0)</f>
        <v/>
      </c>
      <c r="G9" s="121">
        <f>COUNTIF('תוצאות_מספריות'!$I$5:$I$36,"טיוטה")</f>
        <v/>
      </c>
      <c r="H9" s="122">
        <f>IF(AND(C9=B9,D9=0,E9=0,F9=0),"תקין","דורש בדיקה")</f>
        <v/>
      </c>
    </row>
    <row r="10"/>
    <row r="11" ht="42" customHeight="1">
      <c r="A11" s="94" t="inlineStr">
        <is>
          <t>בדיקת תוכן</t>
        </is>
      </c>
      <c r="B11" s="94" t="inlineStr">
        <is>
          <t>כלל</t>
        </is>
      </c>
      <c r="C11" s="167" t="n"/>
      <c r="D11" s="167" t="n"/>
      <c r="E11" s="167" t="n"/>
      <c r="F11" s="167" t="n"/>
      <c r="G11" s="167" t="n"/>
      <c r="H11" s="168" t="n"/>
    </row>
    <row r="12" ht="42" customHeight="1">
      <c r="A12" s="114" t="inlineStr">
        <is>
          <t>מענה סמנטי</t>
        </is>
      </c>
      <c r="B12" s="116" t="inlineStr">
        <is>
          <t>המערכת מסתמכת על משמעות השאלה, לא על התאמת מילות מפתח.</t>
        </is>
      </c>
      <c r="C12" s="169" t="n"/>
      <c r="D12" s="169" t="n"/>
      <c r="E12" s="169" t="n"/>
      <c r="F12" s="169" t="n"/>
      <c r="G12" s="169" t="n"/>
      <c r="H12" s="169" t="n"/>
    </row>
    <row r="13" ht="42" customHeight="1">
      <c r="A13" s="117" t="inlineStr">
        <is>
          <t>מענה ממוקד</t>
        </is>
      </c>
      <c r="B13" s="119" t="inlineStr">
        <is>
          <t>המטופל אינו מנדב מידע שלא נשאל עליו.</t>
        </is>
      </c>
      <c r="C13" s="170" t="n"/>
      <c r="D13" s="170" t="n"/>
      <c r="E13" s="170" t="n"/>
      <c r="F13" s="170" t="n"/>
      <c r="G13" s="170" t="n"/>
      <c r="H13" s="170" t="n"/>
    </row>
    <row r="14">
      <c r="A14" s="117" t="inlineStr">
        <is>
          <t>טווחי ייחוס</t>
        </is>
      </c>
      <c r="B14" s="119" t="inlineStr">
        <is>
          <t>לכל בדיקת דם מספרית יש ערך, יחידה וטווח ייחוס.</t>
        </is>
      </c>
    </row>
    <row r="15">
      <c r="A15" s="120" t="inlineStr">
        <is>
          <t>בדיקה קלינית</t>
        </is>
      </c>
      <c r="B15" s="122" t="inlineStr">
        <is>
          <t>לאחר השלמה אוטומטית נדרשת בדיקת עקביות ידנית מול הסיפור והרובריקות.</t>
        </is>
      </c>
    </row>
    <row r="16" ht="24" customHeight="1">
      <c r="A16" s="153" t="inlineStr">
        <is>
          <t>שיוך מדד–בדיקה</t>
        </is>
      </c>
      <c r="B16" s="154" t="n">
        <v>0</v>
      </c>
      <c r="C16" s="154">
        <f>COUNTIF('מדדים_מספריים'!$H$5:$H$36,0)</f>
        <v/>
      </c>
      <c r="D16" s="155" t="n"/>
      <c r="E16" s="155" t="n"/>
      <c r="F16" s="155" t="n"/>
      <c r="G16" s="155" t="n"/>
      <c r="H16" s="157">
        <f>IF(C16=B16,"תקין","דורש בדיקה")</f>
        <v/>
      </c>
    </row>
    <row r="17" ht="24" customHeight="1">
      <c r="A17" s="153" t="inlineStr">
        <is>
          <t>כפילות מקור מספרי</t>
        </is>
      </c>
      <c r="B17" s="154" t="n">
        <v>0</v>
      </c>
      <c r="C17" s="154">
        <f>COUNTA('בדיקות_מיידיות'!$E$5:$G$37)</f>
        <v/>
      </c>
      <c r="D17" s="155" t="n"/>
      <c r="E17" s="155" t="n"/>
      <c r="F17" s="155" t="n"/>
      <c r="G17" s="155" t="n"/>
      <c r="H17" s="157">
        <f>IF(C17=B17,"תקין","דורש בדיקה")</f>
        <v/>
      </c>
    </row>
    <row r="18" ht="24" customHeight="1">
      <c r="A18" s="153" t="inlineStr">
        <is>
          <t>פרסונה קצרה</t>
        </is>
      </c>
      <c r="B18" s="154" t="n">
        <v>1</v>
      </c>
      <c r="C18" s="154">
        <f>COUNTIF('מטא_מקרה'!$A$5:$A$30,"פרסונה קצרה")</f>
        <v/>
      </c>
      <c r="D18" s="155" t="n"/>
      <c r="E18" s="155" t="n"/>
      <c r="F18" s="155" t="n"/>
      <c r="G18" s="155" t="n"/>
      <c r="H18" s="157">
        <f>IF(C18=B18,"תקין","דורש בדיקה")</f>
        <v/>
      </c>
    </row>
  </sheetData>
  <mergeCells count="5">
    <mergeCell ref="A1:H1"/>
    <mergeCell ref="B13:H13"/>
    <mergeCell ref="A2:H2"/>
    <mergeCell ref="B12:H12"/>
    <mergeCell ref="B11:H11"/>
  </mergeCells>
  <conditionalFormatting sqref="H5:H8">
    <cfRule type="containsText" priority="1" operator="containsText" dxfId="16" text="תקין"/>
    <cfRule type="containsText" priority="2" operator="containsText" dxfId="0" text="דורש בדיקה"/>
  </conditionalFormatting>
  <conditionalFormatting sqref="H5:H9">
    <cfRule type="containsText" priority="3" operator="containsText" dxfId="18" text="תקין"/>
    <cfRule type="containsText" priority="4" operator="containsText" dxfId="19" text="דורש"/>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36"/>
  <sheetViews>
    <sheetView showGridLines="0" workbookViewId="0">
      <selection activeCell="A1" sqref="A1"/>
    </sheetView>
  </sheetViews>
  <sheetFormatPr baseColWidth="8" defaultRowHeight="15"/>
  <cols>
    <col width="18" customWidth="1" min="1" max="1"/>
    <col width="14" customWidth="1" min="2" max="2"/>
    <col width="23" customWidth="1" min="3" max="3"/>
    <col width="12" customWidth="1" min="4" max="4"/>
    <col width="18" customWidth="1" min="5" max="5"/>
    <col width="30" customWidth="1" min="6" max="6"/>
    <col width="24" customWidth="1" min="7" max="7"/>
    <col width="15" customWidth="1" min="8" max="8"/>
    <col width="12" customWidth="1" min="9" max="9"/>
  </cols>
  <sheetData>
    <row r="1" ht="30" customHeight="1">
      <c r="A1" s="83" t="inlineStr">
        <is>
          <t>תבנית תוצאות מספריות</t>
        </is>
      </c>
    </row>
    <row r="2" ht="34" customHeight="1">
      <c r="A2" s="88" t="inlineStr">
        <is>
          <t>זהו מקור האמת היחיד לערכי מטופל מספריים, יחידות וטווחי ייחוס. כל שורת מדד מכילה ערך אחד.</t>
        </is>
      </c>
    </row>
    <row r="3"/>
    <row r="4">
      <c r="A4" s="94" t="inlineStr">
        <is>
          <t>מזהה מדד</t>
        </is>
      </c>
      <c r="B4" s="94" t="inlineStr">
        <is>
          <t>מזהה בדיקה</t>
        </is>
      </c>
      <c r="C4" s="94" t="inlineStr">
        <is>
          <t>שם המדד</t>
        </is>
      </c>
      <c r="D4" s="94" t="inlineStr">
        <is>
          <t>ערך</t>
        </is>
      </c>
      <c r="E4" s="94" t="inlineStr">
        <is>
          <t>יחידה</t>
        </is>
      </c>
      <c r="F4" s="94" t="inlineStr">
        <is>
          <t>טווח ייחוס</t>
        </is>
      </c>
      <c r="G4" s="94" t="inlineStr">
        <is>
          <t>פרשנות במקרה</t>
        </is>
      </c>
      <c r="H4" s="94" t="inlineStr">
        <is>
          <t>חובת הצגה</t>
        </is>
      </c>
      <c r="I4" s="94" t="inlineStr">
        <is>
          <t>סטטוס</t>
        </is>
      </c>
    </row>
    <row r="5">
      <c r="A5" s="114" t="inlineStr">
        <is>
          <t>IT-001-HGT</t>
        </is>
      </c>
      <c r="B5" s="115" t="inlineStr">
        <is>
          <t>IT-001</t>
        </is>
      </c>
      <c r="C5" s="115" t="inlineStr">
        <is>
          <t>גובה</t>
        </is>
      </c>
      <c r="D5" s="171" t="inlineStr">
        <is>
          <t>174</t>
        </is>
      </c>
      <c r="E5" s="123" t="inlineStr">
        <is>
          <t>cm</t>
        </is>
      </c>
      <c r="F5" s="171" t="inlineStr">
        <is>
          <t>לא חל</t>
        </is>
      </c>
      <c r="G5" s="171" t="inlineStr">
        <is>
          <t>גובה המטופל.</t>
        </is>
      </c>
      <c r="H5" s="115" t="inlineStr">
        <is>
          <t>לא</t>
        </is>
      </c>
      <c r="I5" s="116" t="inlineStr">
        <is>
          <t>מאושר</t>
        </is>
      </c>
    </row>
    <row r="6">
      <c r="A6" s="117" t="inlineStr">
        <is>
          <t>IT-002-WGT</t>
        </is>
      </c>
      <c r="B6" s="118" t="inlineStr">
        <is>
          <t>IT-002</t>
        </is>
      </c>
      <c r="C6" s="118" t="inlineStr">
        <is>
          <t>משקל</t>
        </is>
      </c>
      <c r="D6" s="172" t="inlineStr">
        <is>
          <t>95</t>
        </is>
      </c>
      <c r="E6" s="124" t="inlineStr">
        <is>
          <t>kg</t>
        </is>
      </c>
      <c r="F6" s="172" t="inlineStr">
        <is>
          <t>לא חל</t>
        </is>
      </c>
      <c r="G6" s="172" t="inlineStr">
        <is>
          <t>השמנה; יש לעקוב אחר שינויים במשקל ונוזלים.</t>
        </is>
      </c>
      <c r="H6" s="118" t="inlineStr">
        <is>
          <t>לא</t>
        </is>
      </c>
      <c r="I6" s="119" t="inlineStr">
        <is>
          <t>מאושר</t>
        </is>
      </c>
    </row>
    <row r="7">
      <c r="A7" s="117" t="inlineStr">
        <is>
          <t>IT-003-BMI</t>
        </is>
      </c>
      <c r="B7" s="118" t="inlineStr">
        <is>
          <t>IT-003</t>
        </is>
      </c>
      <c r="C7" s="118" t="inlineStr">
        <is>
          <t>BMI</t>
        </is>
      </c>
      <c r="D7" s="172" t="inlineStr">
        <is>
          <t>31.4</t>
        </is>
      </c>
      <c r="E7" s="124" t="inlineStr">
        <is>
          <t>kg/m²</t>
        </is>
      </c>
      <c r="F7" s="172" t="inlineStr">
        <is>
          <t>18.5–24.9</t>
        </is>
      </c>
      <c r="G7" s="172" t="inlineStr">
        <is>
          <t>השמנה מדרגה ראשונה.</t>
        </is>
      </c>
      <c r="H7" s="118" t="inlineStr">
        <is>
          <t>לא</t>
        </is>
      </c>
      <c r="I7" s="119" t="inlineStr">
        <is>
          <t>מאושר</t>
        </is>
      </c>
    </row>
    <row r="8">
      <c r="A8" s="117" t="inlineStr">
        <is>
          <t>IT-004-SPO2</t>
        </is>
      </c>
      <c r="B8" s="118" t="inlineStr">
        <is>
          <t>IT-004</t>
        </is>
      </c>
      <c r="C8" s="118" t="inlineStr">
        <is>
          <t>סטורציה</t>
        </is>
      </c>
      <c r="D8" s="173" t="inlineStr">
        <is>
          <t>90</t>
        </is>
      </c>
      <c r="E8" s="124" t="inlineStr">
        <is>
          <t>%</t>
        </is>
      </c>
      <c r="F8" s="173" t="inlineStr">
        <is>
          <t>95–100</t>
        </is>
      </c>
      <c r="G8" s="173" t="inlineStr">
        <is>
          <t>ירידה בריווי החמצן באוויר חדר; מצדיק הערכה וטיפול דחופים.</t>
        </is>
      </c>
      <c r="H8" s="118" t="inlineStr">
        <is>
          <t>כן</t>
        </is>
      </c>
      <c r="I8" s="119" t="inlineStr">
        <is>
          <t>מאושר</t>
        </is>
      </c>
    </row>
    <row r="9">
      <c r="A9" s="117" t="inlineStr">
        <is>
          <t>IT-005-HR</t>
        </is>
      </c>
      <c r="B9" s="118" t="inlineStr">
        <is>
          <t>IT-005</t>
        </is>
      </c>
      <c r="C9" s="118" t="inlineStr">
        <is>
          <t>קצב לב באק״ג</t>
        </is>
      </c>
      <c r="D9" s="173" t="inlineStr">
        <is>
          <t>108</t>
        </is>
      </c>
      <c r="E9" s="124" t="inlineStr">
        <is>
          <t>פעימות/דקה</t>
        </is>
      </c>
      <c r="F9" s="173" t="inlineStr">
        <is>
          <t>60–100</t>
        </is>
      </c>
      <c r="G9" s="173" t="inlineStr">
        <is>
          <t>טכיקרדיה סינוסלית.</t>
        </is>
      </c>
      <c r="H9" s="118" t="inlineStr">
        <is>
          <t>כן</t>
        </is>
      </c>
      <c r="I9" s="119" t="inlineStr">
        <is>
          <t>מאושר</t>
        </is>
      </c>
    </row>
    <row r="10">
      <c r="A10" s="117" t="inlineStr">
        <is>
          <t>IT-013-HB</t>
        </is>
      </c>
      <c r="B10" s="118" t="inlineStr">
        <is>
          <t>IT-013</t>
        </is>
      </c>
      <c r="C10" s="118" t="inlineStr">
        <is>
          <t>המוגלובין</t>
        </is>
      </c>
      <c r="D10" s="173" t="inlineStr">
        <is>
          <t>13.8</t>
        </is>
      </c>
      <c r="E10" s="124" t="inlineStr">
        <is>
          <t>g/dL</t>
        </is>
      </c>
      <c r="F10" s="173" t="inlineStr">
        <is>
          <t>13.5–17.5</t>
        </is>
      </c>
      <c r="G10" s="173" t="inlineStr">
        <is>
          <t>המוגלובין בתחום התקין לגבר.</t>
        </is>
      </c>
      <c r="H10" s="118" t="inlineStr">
        <is>
          <t>כן</t>
        </is>
      </c>
      <c r="I10" s="119" t="inlineStr">
        <is>
          <t>מאושר</t>
        </is>
      </c>
    </row>
    <row r="11">
      <c r="A11" s="117" t="inlineStr">
        <is>
          <t>IT-013-HCT</t>
        </is>
      </c>
      <c r="B11" s="118" t="inlineStr">
        <is>
          <t>IT-013</t>
        </is>
      </c>
      <c r="C11" s="118" t="inlineStr">
        <is>
          <t>המטוקריט</t>
        </is>
      </c>
      <c r="D11" s="173" t="inlineStr">
        <is>
          <t>41</t>
        </is>
      </c>
      <c r="E11" s="124" t="inlineStr">
        <is>
          <t>%</t>
        </is>
      </c>
      <c r="F11" s="173" t="inlineStr">
        <is>
          <t>41–53</t>
        </is>
      </c>
      <c r="G11" s="173" t="inlineStr">
        <is>
          <t>המטוקריט בטווח התקין.</t>
        </is>
      </c>
      <c r="H11" s="118" t="inlineStr">
        <is>
          <t>כן</t>
        </is>
      </c>
      <c r="I11" s="119" t="inlineStr">
        <is>
          <t>מאושר</t>
        </is>
      </c>
    </row>
    <row r="12">
      <c r="A12" s="117" t="inlineStr">
        <is>
          <t>IT-014-WBC</t>
        </is>
      </c>
      <c r="B12" s="118" t="inlineStr">
        <is>
          <t>IT-014</t>
        </is>
      </c>
      <c r="C12" s="118" t="inlineStr">
        <is>
          <t>תאי דם לבנים</t>
        </is>
      </c>
      <c r="D12" s="173" t="inlineStr">
        <is>
          <t>7.8</t>
        </is>
      </c>
      <c r="E12" s="124" t="inlineStr">
        <is>
          <t>10³/µL</t>
        </is>
      </c>
      <c r="F12" s="173" t="inlineStr">
        <is>
          <t>4–11</t>
        </is>
      </c>
      <c r="G12" s="173" t="inlineStr">
        <is>
          <t>אין לויקוציטוזיס התומכת בזיהום משמעותי.</t>
        </is>
      </c>
      <c r="H12" s="118" t="inlineStr">
        <is>
          <t>כן</t>
        </is>
      </c>
      <c r="I12" s="119" t="inlineStr">
        <is>
          <t>מאושר</t>
        </is>
      </c>
    </row>
    <row r="13">
      <c r="A13" s="117" t="inlineStr">
        <is>
          <t>IT-015-PLT</t>
        </is>
      </c>
      <c r="B13" s="118" t="inlineStr">
        <is>
          <t>IT-015</t>
        </is>
      </c>
      <c r="C13" s="118" t="inlineStr">
        <is>
          <t>טסיות</t>
        </is>
      </c>
      <c r="D13" s="173" t="inlineStr">
        <is>
          <t>235</t>
        </is>
      </c>
      <c r="E13" s="124" t="inlineStr">
        <is>
          <t>10³/µL</t>
        </is>
      </c>
      <c r="F13" s="173" t="inlineStr">
        <is>
          <t>150–450</t>
        </is>
      </c>
      <c r="G13" s="173" t="inlineStr">
        <is>
          <t>טסיות תקינות.</t>
        </is>
      </c>
      <c r="H13" s="118" t="inlineStr">
        <is>
          <t>כן</t>
        </is>
      </c>
      <c r="I13" s="119" t="inlineStr">
        <is>
          <t>מאושר</t>
        </is>
      </c>
    </row>
    <row r="14">
      <c r="A14" s="117" t="inlineStr">
        <is>
          <t>IT-016-GLU</t>
        </is>
      </c>
      <c r="B14" s="118" t="inlineStr">
        <is>
          <t>IT-016</t>
        </is>
      </c>
      <c r="C14" s="118" t="inlineStr">
        <is>
          <t>גלוקוז</t>
        </is>
      </c>
      <c r="D14" s="173" t="inlineStr">
        <is>
          <t>155</t>
        </is>
      </c>
      <c r="E14" s="124" t="inlineStr">
        <is>
          <t>mg/dL</t>
        </is>
      </c>
      <c r="F14" s="173" t="inlineStr">
        <is>
          <t>70–99 בצום</t>
        </is>
      </c>
      <c r="G14" s="173" t="inlineStr">
        <is>
          <t>סוכר גבוה; מצב צום לא הוגדר.</t>
        </is>
      </c>
      <c r="H14" s="118" t="inlineStr">
        <is>
          <t>כן</t>
        </is>
      </c>
      <c r="I14" s="119" t="inlineStr">
        <is>
          <t>מאושר</t>
        </is>
      </c>
    </row>
    <row r="15">
      <c r="A15" s="117" t="inlineStr">
        <is>
          <t>IT-017-HBA1C</t>
        </is>
      </c>
      <c r="B15" s="118" t="inlineStr">
        <is>
          <t>IT-017</t>
        </is>
      </c>
      <c r="C15" s="118" t="inlineStr">
        <is>
          <t>HbA1c</t>
        </is>
      </c>
      <c r="D15" s="173" t="inlineStr">
        <is>
          <t>7.5</t>
        </is>
      </c>
      <c r="E15" s="124" t="inlineStr">
        <is>
          <t>%</t>
        </is>
      </c>
      <c r="F15" s="173" t="inlineStr">
        <is>
          <t>מתחת 5.7 באדם ללא סוכרת</t>
        </is>
      </c>
      <c r="G15" s="173" t="inlineStr">
        <is>
          <t>איזון סוכרת אינו מיטבי.</t>
        </is>
      </c>
      <c r="H15" s="118" t="inlineStr">
        <is>
          <t>כן</t>
        </is>
      </c>
      <c r="I15" s="119" t="inlineStr">
        <is>
          <t>מאושר</t>
        </is>
      </c>
    </row>
    <row r="16">
      <c r="A16" s="117" t="inlineStr">
        <is>
          <t>IT-018-TC</t>
        </is>
      </c>
      <c r="B16" s="118" t="inlineStr">
        <is>
          <t>IT-018</t>
        </is>
      </c>
      <c r="C16" s="118" t="inlineStr">
        <is>
          <t>כולסטרול כללי</t>
        </is>
      </c>
      <c r="D16" s="173" t="inlineStr">
        <is>
          <t>220</t>
        </is>
      </c>
      <c r="E16" s="124" t="inlineStr">
        <is>
          <t>mg/dL</t>
        </is>
      </c>
      <c r="F16" s="173" t="inlineStr">
        <is>
          <t>מתחת 200</t>
        </is>
      </c>
      <c r="G16" s="173" t="inlineStr">
        <is>
          <t>כולסטרול מעט מוגבר.</t>
        </is>
      </c>
      <c r="H16" s="118" t="inlineStr">
        <is>
          <t>כן</t>
        </is>
      </c>
      <c r="I16" s="119" t="inlineStr">
        <is>
          <t>מאושר</t>
        </is>
      </c>
    </row>
    <row r="17">
      <c r="A17" s="117" t="inlineStr">
        <is>
          <t>IT-019-LDL</t>
        </is>
      </c>
      <c r="B17" s="118" t="inlineStr">
        <is>
          <t>IT-019</t>
        </is>
      </c>
      <c r="C17" s="118" t="inlineStr">
        <is>
          <t>LDL</t>
        </is>
      </c>
      <c r="D17" s="173" t="inlineStr">
        <is>
          <t>132</t>
        </is>
      </c>
      <c r="E17" s="124" t="inlineStr">
        <is>
          <t>mg/dL</t>
        </is>
      </c>
      <c r="F17" s="173" t="inlineStr">
        <is>
          <t>מתחת 100 בכלל האוכלוסייה; לאחר אוטם יעד נמוך יותר</t>
        </is>
      </c>
      <c r="G17" s="173" t="inlineStr">
        <is>
          <t>LDL גבוה יחסית לסיכון הלבבי הגבוה.</t>
        </is>
      </c>
      <c r="H17" s="118" t="inlineStr">
        <is>
          <t>כן</t>
        </is>
      </c>
      <c r="I17" s="119" t="inlineStr">
        <is>
          <t>מאושר</t>
        </is>
      </c>
    </row>
    <row r="18">
      <c r="A18" s="117" t="inlineStr">
        <is>
          <t>IT-020-HDL</t>
        </is>
      </c>
      <c r="B18" s="118" t="inlineStr">
        <is>
          <t>IT-020</t>
        </is>
      </c>
      <c r="C18" s="118" t="inlineStr">
        <is>
          <t>HDL</t>
        </is>
      </c>
      <c r="D18" s="173" t="inlineStr">
        <is>
          <t>37</t>
        </is>
      </c>
      <c r="E18" s="124" t="inlineStr">
        <is>
          <t>mg/dL</t>
        </is>
      </c>
      <c r="F18" s="173" t="inlineStr">
        <is>
          <t>מעל 40 בגבר</t>
        </is>
      </c>
      <c r="G18" s="173" t="inlineStr">
        <is>
          <t>HDL נמוך.</t>
        </is>
      </c>
      <c r="H18" s="118" t="inlineStr">
        <is>
          <t>כן</t>
        </is>
      </c>
      <c r="I18" s="119" t="inlineStr">
        <is>
          <t>מאושר</t>
        </is>
      </c>
    </row>
    <row r="19">
      <c r="A19" s="117" t="inlineStr">
        <is>
          <t>IT-021-TG</t>
        </is>
      </c>
      <c r="B19" s="118" t="inlineStr">
        <is>
          <t>IT-021</t>
        </is>
      </c>
      <c r="C19" s="118" t="inlineStr">
        <is>
          <t>טריגליצרידים</t>
        </is>
      </c>
      <c r="D19" s="173" t="inlineStr">
        <is>
          <t>190</t>
        </is>
      </c>
      <c r="E19" s="124" t="inlineStr">
        <is>
          <t>mg/dL</t>
        </is>
      </c>
      <c r="F19" s="173" t="inlineStr">
        <is>
          <t>מתחת 150</t>
        </is>
      </c>
      <c r="G19" s="173" t="inlineStr">
        <is>
          <t>טריגליצרידים גבוהים.</t>
        </is>
      </c>
      <c r="H19" s="118" t="inlineStr">
        <is>
          <t>כן</t>
        </is>
      </c>
      <c r="I19" s="119" t="inlineStr">
        <is>
          <t>מאושר</t>
        </is>
      </c>
    </row>
    <row r="20">
      <c r="A20" s="117" t="inlineStr">
        <is>
          <t>IT-022-NA</t>
        </is>
      </c>
      <c r="B20" s="118" t="inlineStr">
        <is>
          <t>IT-022</t>
        </is>
      </c>
      <c r="C20" s="118" t="inlineStr">
        <is>
          <t>נתרן</t>
        </is>
      </c>
      <c r="D20" s="173" t="inlineStr">
        <is>
          <t>134</t>
        </is>
      </c>
      <c r="E20" s="124" t="inlineStr">
        <is>
          <t>mmol/L</t>
        </is>
      </c>
      <c r="F20" s="173" t="inlineStr">
        <is>
          <t>135–145</t>
        </is>
      </c>
      <c r="G20" s="173" t="inlineStr">
        <is>
          <t>ירידה קלה בנתרן, אפשרית במצב של עודף נוזלים.</t>
        </is>
      </c>
      <c r="H20" s="118" t="inlineStr">
        <is>
          <t>כן</t>
        </is>
      </c>
      <c r="I20" s="119" t="inlineStr">
        <is>
          <t>מאושר</t>
        </is>
      </c>
    </row>
    <row r="21">
      <c r="A21" s="117" t="inlineStr">
        <is>
          <t>IT-023-K</t>
        </is>
      </c>
      <c r="B21" s="118" t="inlineStr">
        <is>
          <t>IT-023</t>
        </is>
      </c>
      <c r="C21" s="118" t="inlineStr">
        <is>
          <t>אשלגן</t>
        </is>
      </c>
      <c r="D21" s="173" t="inlineStr">
        <is>
          <t>4.5</t>
        </is>
      </c>
      <c r="E21" s="124" t="inlineStr">
        <is>
          <t>mmol/L</t>
        </is>
      </c>
      <c r="F21" s="173" t="inlineStr">
        <is>
          <t>3.5–5.1</t>
        </is>
      </c>
      <c r="G21" s="173" t="inlineStr">
        <is>
          <t>אשלגן תקין; חשוב לניטור בהמשך טיפול.</t>
        </is>
      </c>
      <c r="H21" s="118" t="inlineStr">
        <is>
          <t>כן</t>
        </is>
      </c>
      <c r="I21" s="119" t="inlineStr">
        <is>
          <t>מאושר</t>
        </is>
      </c>
    </row>
    <row r="22">
      <c r="A22" s="117" t="inlineStr">
        <is>
          <t>IT-024-MG</t>
        </is>
      </c>
      <c r="B22" s="118" t="inlineStr">
        <is>
          <t>IT-024</t>
        </is>
      </c>
      <c r="C22" s="118" t="inlineStr">
        <is>
          <t>מגנזיום</t>
        </is>
      </c>
      <c r="D22" s="173" t="inlineStr">
        <is>
          <t>2.0</t>
        </is>
      </c>
      <c r="E22" s="124" t="inlineStr">
        <is>
          <t>mg/dL</t>
        </is>
      </c>
      <c r="F22" s="173" t="inlineStr">
        <is>
          <t>1.7–2.2</t>
        </is>
      </c>
      <c r="G22" s="173" t="inlineStr">
        <is>
          <t>מגנזיום תקין.</t>
        </is>
      </c>
      <c r="H22" s="118" t="inlineStr">
        <is>
          <t>כן</t>
        </is>
      </c>
      <c r="I22" s="119" t="inlineStr">
        <is>
          <t>מאושר</t>
        </is>
      </c>
    </row>
    <row r="23">
      <c r="A23" s="117" t="inlineStr">
        <is>
          <t>IT-024-CA</t>
        </is>
      </c>
      <c r="B23" s="118" t="inlineStr">
        <is>
          <t>IT-024</t>
        </is>
      </c>
      <c r="C23" s="118" t="inlineStr">
        <is>
          <t>סידן</t>
        </is>
      </c>
      <c r="D23" s="173" t="inlineStr">
        <is>
          <t>9.2</t>
        </is>
      </c>
      <c r="E23" s="124" t="inlineStr">
        <is>
          <t>mg/dL</t>
        </is>
      </c>
      <c r="F23" s="173" t="inlineStr">
        <is>
          <t>8.5–10.5</t>
        </is>
      </c>
      <c r="G23" s="173" t="inlineStr">
        <is>
          <t>סידן תקין.</t>
        </is>
      </c>
      <c r="H23" s="118" t="inlineStr">
        <is>
          <t>כן</t>
        </is>
      </c>
      <c r="I23" s="119" t="inlineStr">
        <is>
          <t>מאושר</t>
        </is>
      </c>
    </row>
    <row r="24">
      <c r="A24" s="117" t="inlineStr">
        <is>
          <t>IT-025-TSH</t>
        </is>
      </c>
      <c r="B24" s="118" t="inlineStr">
        <is>
          <t>IT-025</t>
        </is>
      </c>
      <c r="C24" s="118" t="inlineStr">
        <is>
          <t>TSH</t>
        </is>
      </c>
      <c r="D24" s="173" t="inlineStr">
        <is>
          <t>2.1</t>
        </is>
      </c>
      <c r="E24" s="124" t="inlineStr">
        <is>
          <t>mIU/L</t>
        </is>
      </c>
      <c r="F24" s="173" t="inlineStr">
        <is>
          <t>0.4–4.0</t>
        </is>
      </c>
      <c r="G24" s="173" t="inlineStr">
        <is>
          <t>תפקוד תריס תקין.</t>
        </is>
      </c>
      <c r="H24" s="118" t="inlineStr">
        <is>
          <t>כן</t>
        </is>
      </c>
      <c r="I24" s="119" t="inlineStr">
        <is>
          <t>מאושר</t>
        </is>
      </c>
    </row>
    <row r="25">
      <c r="A25" s="117" t="inlineStr">
        <is>
          <t>IT-025-FT4</t>
        </is>
      </c>
      <c r="B25" s="118" t="inlineStr">
        <is>
          <t>IT-025</t>
        </is>
      </c>
      <c r="C25" s="118" t="inlineStr">
        <is>
          <t>FT4</t>
        </is>
      </c>
      <c r="D25" s="173" t="inlineStr">
        <is>
          <t>1.2</t>
        </is>
      </c>
      <c r="E25" s="124" t="inlineStr">
        <is>
          <t>ng/dL</t>
        </is>
      </c>
      <c r="F25" s="173" t="inlineStr">
        <is>
          <t>0.8–1.8</t>
        </is>
      </c>
      <c r="G25" s="173" t="inlineStr">
        <is>
          <t>תפקוד תריס תקין.</t>
        </is>
      </c>
      <c r="H25" s="118" t="inlineStr">
        <is>
          <t>כן</t>
        </is>
      </c>
      <c r="I25" s="119" t="inlineStr">
        <is>
          <t>מאושר</t>
        </is>
      </c>
    </row>
    <row r="26">
      <c r="A26" s="117" t="inlineStr">
        <is>
          <t>IT-026-AST</t>
        </is>
      </c>
      <c r="B26" s="118" t="inlineStr">
        <is>
          <t>IT-026</t>
        </is>
      </c>
      <c r="C26" s="118" t="inlineStr">
        <is>
          <t>AST</t>
        </is>
      </c>
      <c r="D26" s="173" t="inlineStr">
        <is>
          <t>43</t>
        </is>
      </c>
      <c r="E26" s="124" t="inlineStr">
        <is>
          <t>U/L</t>
        </is>
      </c>
      <c r="F26" s="173" t="inlineStr">
        <is>
          <t>10–40</t>
        </is>
      </c>
      <c r="G26" s="173" t="inlineStr">
        <is>
          <t>חריגה קלה באנזים כבד; לא לחשוף שם אנזים זה לתלמיד.</t>
        </is>
      </c>
      <c r="H26" s="118" t="inlineStr">
        <is>
          <t>כן</t>
        </is>
      </c>
      <c r="I26" s="119" t="inlineStr">
        <is>
          <t>מאושר</t>
        </is>
      </c>
    </row>
    <row r="27">
      <c r="A27" s="117" t="inlineStr">
        <is>
          <t>IT-026-ALT</t>
        </is>
      </c>
      <c r="B27" s="118" t="inlineStr">
        <is>
          <t>IT-026</t>
        </is>
      </c>
      <c r="C27" s="118" t="inlineStr">
        <is>
          <t>ALT</t>
        </is>
      </c>
      <c r="D27" s="173" t="inlineStr">
        <is>
          <t>39</t>
        </is>
      </c>
      <c r="E27" s="124" t="inlineStr">
        <is>
          <t>U/L</t>
        </is>
      </c>
      <c r="F27" s="173" t="inlineStr">
        <is>
          <t>7–56</t>
        </is>
      </c>
      <c r="G27" s="173" t="inlineStr">
        <is>
          <t>בטווח המקובל; אין להציג ערכי אנזימי כבד בודדים לתלמיד.</t>
        </is>
      </c>
      <c r="H27" s="118" t="inlineStr">
        <is>
          <t>כן</t>
        </is>
      </c>
      <c r="I27" s="119" t="inlineStr">
        <is>
          <t>מאושר</t>
        </is>
      </c>
    </row>
    <row r="28">
      <c r="A28" s="117" t="inlineStr">
        <is>
          <t>IT-026-ALB</t>
        </is>
      </c>
      <c r="B28" s="118" t="inlineStr">
        <is>
          <t>IT-026</t>
        </is>
      </c>
      <c r="C28" s="118" t="inlineStr">
        <is>
          <t>אלבומין</t>
        </is>
      </c>
      <c r="D28" s="173" t="inlineStr">
        <is>
          <t>3.7</t>
        </is>
      </c>
      <c r="E28" s="124" t="inlineStr">
        <is>
          <t>g/dL</t>
        </is>
      </c>
      <c r="F28" s="173" t="inlineStr">
        <is>
          <t>3.5–5.0</t>
        </is>
      </c>
      <c r="G28" s="173" t="inlineStr">
        <is>
          <t>אלבומין תקין; תפקודי כבד יוצגו מילולית בלבד.</t>
        </is>
      </c>
      <c r="H28" s="118" t="inlineStr">
        <is>
          <t>כן</t>
        </is>
      </c>
      <c r="I28" s="119" t="inlineStr">
        <is>
          <t>מאושר</t>
        </is>
      </c>
    </row>
    <row r="29">
      <c r="A29" s="117" t="inlineStr">
        <is>
          <t>IT-027-INR</t>
        </is>
      </c>
      <c r="B29" s="118" t="inlineStr">
        <is>
          <t>IT-027</t>
        </is>
      </c>
      <c r="C29" s="118" t="inlineStr">
        <is>
          <t>INR</t>
        </is>
      </c>
      <c r="D29" s="173" t="inlineStr">
        <is>
          <t>1.0</t>
        </is>
      </c>
      <c r="E29" s="124" t="inlineStr">
        <is>
          <t>יחס</t>
        </is>
      </c>
      <c r="F29" s="173" t="inlineStr">
        <is>
          <t>0.8–1.2</t>
        </is>
      </c>
      <c r="G29" s="173" t="inlineStr">
        <is>
          <t>קרישה תקינה; אינו נוטל וורפרין.</t>
        </is>
      </c>
      <c r="H29" s="118" t="inlineStr">
        <is>
          <t>כן</t>
        </is>
      </c>
      <c r="I29" s="119" t="inlineStr">
        <is>
          <t>מאושר</t>
        </is>
      </c>
    </row>
    <row r="30">
      <c r="A30" s="117" t="inlineStr">
        <is>
          <t>IT-028-TNI</t>
        </is>
      </c>
      <c r="B30" s="118" t="inlineStr">
        <is>
          <t>IT-028</t>
        </is>
      </c>
      <c r="C30" s="118" t="inlineStr">
        <is>
          <t>hs-Troponin I</t>
        </is>
      </c>
      <c r="D30" s="173" t="inlineStr">
        <is>
          <t>12</t>
        </is>
      </c>
      <c r="E30" s="124" t="inlineStr">
        <is>
          <t>ng/L</t>
        </is>
      </c>
      <c r="F30" s="173" t="inlineStr">
        <is>
          <t>לפי סף המעבדה והמין; דוגמה: מתחת 34</t>
        </is>
      </c>
      <c r="G30" s="173" t="inlineStr">
        <is>
          <t>ללא עדות מספקת לאוטם חדש; נדרשים הקשר קליני ומדידות חוזרות.</t>
        </is>
      </c>
      <c r="H30" s="118" t="inlineStr">
        <is>
          <t>כן</t>
        </is>
      </c>
      <c r="I30" s="119" t="inlineStr">
        <is>
          <t>מאושר</t>
        </is>
      </c>
    </row>
    <row r="31">
      <c r="A31" s="117" t="inlineStr">
        <is>
          <t>IT-029-CPK</t>
        </is>
      </c>
      <c r="B31" s="118" t="inlineStr">
        <is>
          <t>IT-029</t>
        </is>
      </c>
      <c r="C31" s="118" t="inlineStr">
        <is>
          <t>CPK</t>
        </is>
      </c>
      <c r="D31" s="173" t="inlineStr">
        <is>
          <t>110</t>
        </is>
      </c>
      <c r="E31" s="124" t="inlineStr">
        <is>
          <t>U/L</t>
        </is>
      </c>
      <c r="F31" s="173" t="inlineStr">
        <is>
          <t>30–200</t>
        </is>
      </c>
      <c r="G31" s="173" t="inlineStr">
        <is>
          <t>אין עלייה משמעותית.</t>
        </is>
      </c>
      <c r="H31" s="118" t="inlineStr">
        <is>
          <t>כן</t>
        </is>
      </c>
      <c r="I31" s="119" t="inlineStr">
        <is>
          <t>מאושר</t>
        </is>
      </c>
    </row>
    <row r="32">
      <c r="A32" s="117" t="inlineStr">
        <is>
          <t>IT-029-CKMB</t>
        </is>
      </c>
      <c r="B32" s="118" t="inlineStr">
        <is>
          <t>IT-029</t>
        </is>
      </c>
      <c r="C32" s="118" t="inlineStr">
        <is>
          <t>CK-MB</t>
        </is>
      </c>
      <c r="D32" s="173" t="inlineStr">
        <is>
          <t>2.2</t>
        </is>
      </c>
      <c r="E32" s="124" t="inlineStr">
        <is>
          <t>ng/mL</t>
        </is>
      </c>
      <c r="F32" s="173" t="inlineStr">
        <is>
          <t>0–5</t>
        </is>
      </c>
      <c r="G32" s="173" t="inlineStr">
        <is>
          <t>אין עלייה משמעותית.</t>
        </is>
      </c>
      <c r="H32" s="118" t="inlineStr">
        <is>
          <t>כן</t>
        </is>
      </c>
      <c r="I32" s="119" t="inlineStr">
        <is>
          <t>מאושר</t>
        </is>
      </c>
    </row>
    <row r="33">
      <c r="A33" s="117" t="inlineStr">
        <is>
          <t>IT-030-UREA</t>
        </is>
      </c>
      <c r="B33" s="118" t="inlineStr">
        <is>
          <t>IT-030</t>
        </is>
      </c>
      <c r="C33" s="118" t="inlineStr">
        <is>
          <t>אוריאה</t>
        </is>
      </c>
      <c r="D33" s="173" t="inlineStr">
        <is>
          <t>55</t>
        </is>
      </c>
      <c r="E33" s="124" t="inlineStr">
        <is>
          <t>mg/dL</t>
        </is>
      </c>
      <c r="F33" s="173" t="inlineStr">
        <is>
          <t>15–45</t>
        </is>
      </c>
      <c r="G33" s="173" t="inlineStr">
        <is>
          <t>אוריאה מעט גבוהה; ייתכן גודש כלייתי ותפקוד כלייתי ירוד.</t>
        </is>
      </c>
      <c r="H33" s="118" t="inlineStr">
        <is>
          <t>כן</t>
        </is>
      </c>
      <c r="I33" s="119" t="inlineStr">
        <is>
          <t>מאושר</t>
        </is>
      </c>
    </row>
    <row r="34">
      <c r="A34" s="117" t="inlineStr">
        <is>
          <t>IT-031-CREA</t>
        </is>
      </c>
      <c r="B34" s="118" t="inlineStr">
        <is>
          <t>IT-031</t>
        </is>
      </c>
      <c r="C34" s="118" t="inlineStr">
        <is>
          <t>קריאטינין</t>
        </is>
      </c>
      <c r="D34" s="173" t="inlineStr">
        <is>
          <t>1.45</t>
        </is>
      </c>
      <c r="E34" s="124" t="inlineStr">
        <is>
          <t>mg/dL</t>
        </is>
      </c>
      <c r="F34" s="173" t="inlineStr">
        <is>
          <t>0.7–1.3</t>
        </is>
      </c>
      <c r="G34" s="173" t="inlineStr">
        <is>
          <t>קריאטינין מעט גבוה.</t>
        </is>
      </c>
      <c r="H34" s="118" t="inlineStr">
        <is>
          <t>כן</t>
        </is>
      </c>
      <c r="I34" s="119" t="inlineStr">
        <is>
          <t>מאושר</t>
        </is>
      </c>
    </row>
    <row r="35">
      <c r="A35" s="117" t="inlineStr">
        <is>
          <t>IT-031-EGFR</t>
        </is>
      </c>
      <c r="B35" s="118" t="inlineStr">
        <is>
          <t>IT-031</t>
        </is>
      </c>
      <c r="C35" s="118" t="inlineStr">
        <is>
          <t>eGFR</t>
        </is>
      </c>
      <c r="D35" s="173" t="inlineStr">
        <is>
          <t>52</t>
        </is>
      </c>
      <c r="E35" s="124" t="inlineStr">
        <is>
          <t>mL/min/1.73m²</t>
        </is>
      </c>
      <c r="F35" s="173" t="inlineStr">
        <is>
          <t>מעל 60</t>
        </is>
      </c>
      <c r="G35" s="173" t="inlineStr">
        <is>
          <t>ירידה קלה־בינונית בהערכה הנוכחית, ללא קביעה של מחלת כליות כרונית מבדיקה בודדת.</t>
        </is>
      </c>
      <c r="H35" s="118" t="inlineStr">
        <is>
          <t>כן</t>
        </is>
      </c>
      <c r="I35" s="119" t="inlineStr">
        <is>
          <t>מאושר</t>
        </is>
      </c>
    </row>
    <row r="36">
      <c r="A36" s="120" t="inlineStr">
        <is>
          <t>IT-032-BNP</t>
        </is>
      </c>
      <c r="B36" s="121" t="inlineStr">
        <is>
          <t>IT-032</t>
        </is>
      </c>
      <c r="C36" s="121" t="inlineStr">
        <is>
          <t>BNP</t>
        </is>
      </c>
      <c r="D36" s="174" t="inlineStr">
        <is>
          <t>לא נבדק</t>
        </is>
      </c>
      <c r="E36" s="125" t="inlineStr">
        <is>
          <t>pg/mL</t>
        </is>
      </c>
      <c r="F36" s="174" t="inlineStr">
        <is>
          <t>לא מיועד להוראה</t>
        </is>
      </c>
      <c r="G36" s="174" t="inlineStr">
        <is>
          <t>המורה החליט שלא לכלול בדיקת BNP; שדה קיים בתבנית אך אינו אמור להופיע לתלמיד.</t>
        </is>
      </c>
      <c r="H36" s="121" t="inlineStr">
        <is>
          <t>כן</t>
        </is>
      </c>
      <c r="I36" s="122" t="inlineStr">
        <is>
          <t>מאושר</t>
        </is>
      </c>
    </row>
  </sheetData>
  <mergeCells count="2">
    <mergeCell ref="A1:I1"/>
    <mergeCell ref="A2:I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36"/>
  <sheetViews>
    <sheetView showGridLines="0" workbookViewId="0">
      <selection activeCell="A1" sqref="A1"/>
    </sheetView>
  </sheetViews>
  <sheetFormatPr baseColWidth="8" defaultRowHeight="15"/>
  <cols>
    <col width="18" customWidth="1" min="1" max="1"/>
    <col width="14" customWidth="1" min="2" max="2"/>
    <col width="24" customWidth="1" min="3" max="3"/>
    <col width="19" customWidth="1" min="4" max="4"/>
    <col width="18" customWidth="1" min="5" max="5"/>
    <col width="38" customWidth="1" min="6" max="6"/>
    <col width="14" customWidth="1" min="7" max="7"/>
    <col width="15" customWidth="1" min="8" max="8"/>
  </cols>
  <sheetData>
    <row r="1" ht="30" customHeight="1">
      <c r="A1" s="83" t="inlineStr">
        <is>
          <t>מדדים מספריים ותוצאות מרובות</t>
        </is>
      </c>
    </row>
    <row r="2" ht="34" customHeight="1">
      <c r="A2" s="88" t="inlineStr">
        <is>
          <t>הגדרות מדדים בלבד. הערכים עצמם נשמרים בתוצאות_מספריות; עמודות הבקרה מוודאות מופע יחיד ושיוך נכון לבדיקה.</t>
        </is>
      </c>
    </row>
    <row r="3"/>
    <row r="4">
      <c r="A4" s="94" t="inlineStr">
        <is>
          <t>מזהה מדד</t>
        </is>
      </c>
      <c r="B4" s="94" t="inlineStr">
        <is>
          <t>מזהה בדיקה</t>
        </is>
      </c>
      <c r="C4" s="94" t="inlineStr">
        <is>
          <t>שם המדד</t>
        </is>
      </c>
      <c r="D4" s="94" t="inlineStr">
        <is>
          <t>יחידה מקובלת</t>
        </is>
      </c>
      <c r="E4" s="94" t="inlineStr">
        <is>
          <t>חובת טווח בתיק</t>
        </is>
      </c>
      <c r="F4" s="94" t="inlineStr">
        <is>
          <t>כלל הצגה</t>
        </is>
      </c>
      <c r="G4" s="94" t="inlineStr">
        <is>
          <t>מופעים בתיק</t>
        </is>
      </c>
      <c r="H4" s="152" t="inlineStr">
        <is>
          <t>שיוך תקין</t>
        </is>
      </c>
    </row>
    <row r="5">
      <c r="A5" s="114" t="inlineStr">
        <is>
          <t>IT-001-HGT</t>
        </is>
      </c>
      <c r="B5" s="115" t="inlineStr">
        <is>
          <t>IT-001</t>
        </is>
      </c>
      <c r="C5" s="115" t="inlineStr">
        <is>
          <t>גובה</t>
        </is>
      </c>
      <c r="D5" s="115" t="inlineStr">
        <is>
          <t>cm</t>
        </is>
      </c>
      <c r="E5" s="115" t="inlineStr">
        <is>
          <t>לא</t>
        </is>
      </c>
      <c r="F5" s="116" t="inlineStr">
        <is>
          <t>מדידה; אין טווח מעבדתי</t>
        </is>
      </c>
      <c r="G5" s="132">
        <f>COUNTIF('תוצאות_מספריות'!$A$5:$A$36,A5)</f>
        <v/>
      </c>
      <c r="H5" s="175">
        <f>IF(LEFT(A5,6)=B5,1,0)</f>
        <v/>
      </c>
    </row>
    <row r="6">
      <c r="A6" s="117" t="inlineStr">
        <is>
          <t>IT-002-WGT</t>
        </is>
      </c>
      <c r="B6" s="118" t="inlineStr">
        <is>
          <t>IT-002</t>
        </is>
      </c>
      <c r="C6" s="118" t="inlineStr">
        <is>
          <t>משקל</t>
        </is>
      </c>
      <c r="D6" s="118" t="inlineStr">
        <is>
          <t>kg</t>
        </is>
      </c>
      <c r="E6" s="118" t="inlineStr">
        <is>
          <t>לא</t>
        </is>
      </c>
      <c r="F6" s="119" t="inlineStr">
        <is>
          <t>מדידה; אין טווח מעבדתי</t>
        </is>
      </c>
      <c r="G6" s="133">
        <f>COUNTIF('תוצאות_מספריות'!$A$5:$A$36,A6)</f>
        <v/>
      </c>
      <c r="H6" s="175">
        <f>IF(LEFT(A6,6)=B6,1,0)</f>
        <v/>
      </c>
    </row>
    <row r="7">
      <c r="A7" s="117" t="inlineStr">
        <is>
          <t>IT-003-BMI</t>
        </is>
      </c>
      <c r="B7" s="118" t="inlineStr">
        <is>
          <t>IT-003</t>
        </is>
      </c>
      <c r="C7" s="118" t="inlineStr">
        <is>
          <t>BMI</t>
        </is>
      </c>
      <c r="D7" s="118" t="inlineStr">
        <is>
          <t>kg/m²</t>
        </is>
      </c>
      <c r="E7" s="118" t="inlineStr">
        <is>
          <t>לא</t>
        </is>
      </c>
      <c r="F7" s="119" t="inlineStr">
        <is>
          <t>פרשנות לפי טווחי BMI</t>
        </is>
      </c>
      <c r="G7" s="133">
        <f>COUNTIF('תוצאות_מספריות'!$A$5:$A$36,A7)</f>
        <v/>
      </c>
      <c r="H7" s="175">
        <f>IF(LEFT(A7,6)=B7,1,0)</f>
        <v/>
      </c>
    </row>
    <row r="8">
      <c r="A8" s="117" t="inlineStr">
        <is>
          <t>IT-004-SPO2</t>
        </is>
      </c>
      <c r="B8" s="118" t="inlineStr">
        <is>
          <t>IT-004</t>
        </is>
      </c>
      <c r="C8" s="118" t="inlineStr">
        <is>
          <t>סטורציה</t>
        </is>
      </c>
      <c r="D8" s="118" t="inlineStr">
        <is>
          <t>%</t>
        </is>
      </c>
      <c r="E8" s="118" t="inlineStr">
        <is>
          <t>כן</t>
        </is>
      </c>
      <c r="F8" s="119" t="inlineStr">
        <is>
          <t>להציג טווח תקין לצד התוצאה</t>
        </is>
      </c>
      <c r="G8" s="133">
        <f>COUNTIF('תוצאות_מספריות'!$A$5:$A$36,A8)</f>
        <v/>
      </c>
      <c r="H8" s="175">
        <f>IF(LEFT(A8,6)=B8,1,0)</f>
        <v/>
      </c>
    </row>
    <row r="9">
      <c r="A9" s="117" t="inlineStr">
        <is>
          <t>IT-005-HR</t>
        </is>
      </c>
      <c r="B9" s="118" t="inlineStr">
        <is>
          <t>IT-005</t>
        </is>
      </c>
      <c r="C9" s="118" t="inlineStr">
        <is>
          <t>קצב לב באק״ג</t>
        </is>
      </c>
      <c r="D9" s="118" t="inlineStr">
        <is>
          <t>פעימות/דקה</t>
        </is>
      </c>
      <c r="E9" s="118" t="inlineStr">
        <is>
          <t>כן</t>
        </is>
      </c>
      <c r="F9" s="119" t="inlineStr">
        <is>
          <t>להציג טווח תקין לצד התוצאה</t>
        </is>
      </c>
      <c r="G9" s="133">
        <f>COUNTIF('תוצאות_מספריות'!$A$5:$A$36,A9)</f>
        <v/>
      </c>
      <c r="H9" s="175">
        <f>IF(LEFT(A9,6)=B9,1,0)</f>
        <v/>
      </c>
    </row>
    <row r="10">
      <c r="A10" s="117" t="inlineStr">
        <is>
          <t>IT-013-HB</t>
        </is>
      </c>
      <c r="B10" s="118" t="inlineStr">
        <is>
          <t>IT-013</t>
        </is>
      </c>
      <c r="C10" s="118" t="inlineStr">
        <is>
          <t>המוגלובין</t>
        </is>
      </c>
      <c r="D10" s="118" t="inlineStr">
        <is>
          <t>g/dL</t>
        </is>
      </c>
      <c r="E10" s="118" t="inlineStr">
        <is>
          <t>כן</t>
        </is>
      </c>
      <c r="F10" s="119" t="inlineStr">
        <is>
          <t>טווח ייחוס תלוי מעבדה ומין</t>
        </is>
      </c>
      <c r="G10" s="133">
        <f>COUNTIF('תוצאות_מספריות'!$A$5:$A$36,A10)</f>
        <v/>
      </c>
      <c r="H10" s="175">
        <f>IF(LEFT(A10,6)=B10,1,0)</f>
        <v/>
      </c>
    </row>
    <row r="11">
      <c r="A11" s="117" t="inlineStr">
        <is>
          <t>IT-013-HCT</t>
        </is>
      </c>
      <c r="B11" s="118" t="inlineStr">
        <is>
          <t>IT-013</t>
        </is>
      </c>
      <c r="C11" s="118" t="inlineStr">
        <is>
          <t>המטוקריט</t>
        </is>
      </c>
      <c r="D11" s="118" t="inlineStr">
        <is>
          <t>%</t>
        </is>
      </c>
      <c r="E11" s="118" t="inlineStr">
        <is>
          <t>כן</t>
        </is>
      </c>
      <c r="F11" s="119" t="inlineStr">
        <is>
          <t>טווח ייחוס תלוי מעבדה ומין</t>
        </is>
      </c>
      <c r="G11" s="133">
        <f>COUNTIF('תוצאות_מספריות'!$A$5:$A$36,A11)</f>
        <v/>
      </c>
      <c r="H11" s="175">
        <f>IF(LEFT(A11,6)=B11,1,0)</f>
        <v/>
      </c>
    </row>
    <row r="12">
      <c r="A12" s="117" t="inlineStr">
        <is>
          <t>IT-014-WBC</t>
        </is>
      </c>
      <c r="B12" s="118" t="inlineStr">
        <is>
          <t>IT-014</t>
        </is>
      </c>
      <c r="C12" s="118" t="inlineStr">
        <is>
          <t>תאי דם לבנים</t>
        </is>
      </c>
      <c r="D12" s="118" t="inlineStr">
        <is>
          <t>10³/µL</t>
        </is>
      </c>
      <c r="E12" s="118" t="inlineStr">
        <is>
          <t>כן</t>
        </is>
      </c>
      <c r="F12" s="119" t="inlineStr">
        <is>
          <t>טווח ייחוס של המעבדה</t>
        </is>
      </c>
      <c r="G12" s="133">
        <f>COUNTIF('תוצאות_מספריות'!$A$5:$A$36,A12)</f>
        <v/>
      </c>
      <c r="H12" s="175">
        <f>IF(LEFT(A12,6)=B12,1,0)</f>
        <v/>
      </c>
    </row>
    <row r="13">
      <c r="A13" s="117" t="inlineStr">
        <is>
          <t>IT-015-PLT</t>
        </is>
      </c>
      <c r="B13" s="118" t="inlineStr">
        <is>
          <t>IT-015</t>
        </is>
      </c>
      <c r="C13" s="118" t="inlineStr">
        <is>
          <t>טסיות</t>
        </is>
      </c>
      <c r="D13" s="118" t="inlineStr">
        <is>
          <t>10³/µL</t>
        </is>
      </c>
      <c r="E13" s="118" t="inlineStr">
        <is>
          <t>כן</t>
        </is>
      </c>
      <c r="F13" s="119" t="inlineStr">
        <is>
          <t>טווח ייחוס של המעבדה</t>
        </is>
      </c>
      <c r="G13" s="133">
        <f>COUNTIF('תוצאות_מספריות'!$A$5:$A$36,A13)</f>
        <v/>
      </c>
      <c r="H13" s="175">
        <f>IF(LEFT(A13,6)=B13,1,0)</f>
        <v/>
      </c>
    </row>
    <row r="14">
      <c r="A14" s="117" t="inlineStr">
        <is>
          <t>IT-016-GLU</t>
        </is>
      </c>
      <c r="B14" s="118" t="inlineStr">
        <is>
          <t>IT-016</t>
        </is>
      </c>
      <c r="C14" s="118" t="inlineStr">
        <is>
          <t>גלוקוז</t>
        </is>
      </c>
      <c r="D14" s="118" t="inlineStr">
        <is>
          <t>mg/dL</t>
        </is>
      </c>
      <c r="E14" s="118" t="inlineStr">
        <is>
          <t>כן</t>
        </is>
      </c>
      <c r="F14" s="119" t="inlineStr">
        <is>
          <t>לציין אם בצום</t>
        </is>
      </c>
      <c r="G14" s="133">
        <f>COUNTIF('תוצאות_מספריות'!$A$5:$A$36,A14)</f>
        <v/>
      </c>
      <c r="H14" s="175">
        <f>IF(LEFT(A14,6)=B14,1,0)</f>
        <v/>
      </c>
    </row>
    <row r="15">
      <c r="A15" s="117" t="inlineStr">
        <is>
          <t>IT-017-HBA1C</t>
        </is>
      </c>
      <c r="B15" s="118" t="inlineStr">
        <is>
          <t>IT-017</t>
        </is>
      </c>
      <c r="C15" s="118" t="inlineStr">
        <is>
          <t>HbA1c</t>
        </is>
      </c>
      <c r="D15" s="118" t="inlineStr">
        <is>
          <t>%</t>
        </is>
      </c>
      <c r="E15" s="118" t="inlineStr">
        <is>
          <t>כן</t>
        </is>
      </c>
      <c r="F15" s="119" t="inlineStr">
        <is>
          <t>טווח ייחוס של המעבדה</t>
        </is>
      </c>
      <c r="G15" s="133">
        <f>COUNTIF('תוצאות_מספריות'!$A$5:$A$36,A15)</f>
        <v/>
      </c>
      <c r="H15" s="175">
        <f>IF(LEFT(A15,6)=B15,1,0)</f>
        <v/>
      </c>
    </row>
    <row r="16">
      <c r="A16" s="117" t="inlineStr">
        <is>
          <t>IT-018-TC</t>
        </is>
      </c>
      <c r="B16" s="118" t="inlineStr">
        <is>
          <t>IT-018</t>
        </is>
      </c>
      <c r="C16" s="118" t="inlineStr">
        <is>
          <t>כולסטרול כללי</t>
        </is>
      </c>
      <c r="D16" s="118" t="inlineStr">
        <is>
          <t>mg/dL</t>
        </is>
      </c>
      <c r="E16" s="118" t="inlineStr">
        <is>
          <t>כן</t>
        </is>
      </c>
      <c r="F16" s="119" t="inlineStr">
        <is>
          <t>להציג יעד/טווח מעבדה</t>
        </is>
      </c>
      <c r="G16" s="133">
        <f>COUNTIF('תוצאות_מספריות'!$A$5:$A$36,A16)</f>
        <v/>
      </c>
      <c r="H16" s="175">
        <f>IF(LEFT(A16,6)=B16,1,0)</f>
        <v/>
      </c>
    </row>
    <row r="17">
      <c r="A17" s="117" t="inlineStr">
        <is>
          <t>IT-019-LDL</t>
        </is>
      </c>
      <c r="B17" s="118" t="inlineStr">
        <is>
          <t>IT-019</t>
        </is>
      </c>
      <c r="C17" s="118" t="inlineStr">
        <is>
          <t>LDL</t>
        </is>
      </c>
      <c r="D17" s="118" t="inlineStr">
        <is>
          <t>mg/dL</t>
        </is>
      </c>
      <c r="E17" s="118" t="inlineStr">
        <is>
          <t>כן</t>
        </is>
      </c>
      <c r="F17" s="119" t="inlineStr">
        <is>
          <t>היעד תלוי סיכון; להציג טווח המעבדה</t>
        </is>
      </c>
      <c r="G17" s="133">
        <f>COUNTIF('תוצאות_מספריות'!$A$5:$A$36,A17)</f>
        <v/>
      </c>
      <c r="H17" s="175">
        <f>IF(LEFT(A17,6)=B17,1,0)</f>
        <v/>
      </c>
    </row>
    <row r="18">
      <c r="A18" s="117" t="inlineStr">
        <is>
          <t>IT-020-HDL</t>
        </is>
      </c>
      <c r="B18" s="118" t="inlineStr">
        <is>
          <t>IT-020</t>
        </is>
      </c>
      <c r="C18" s="118" t="inlineStr">
        <is>
          <t>HDL</t>
        </is>
      </c>
      <c r="D18" s="118" t="inlineStr">
        <is>
          <t>mg/dL</t>
        </is>
      </c>
      <c r="E18" s="118" t="inlineStr">
        <is>
          <t>כן</t>
        </is>
      </c>
      <c r="F18" s="119" t="inlineStr">
        <is>
          <t>להציג טווח המעבדה</t>
        </is>
      </c>
      <c r="G18" s="133">
        <f>COUNTIF('תוצאות_מספריות'!$A$5:$A$36,A18)</f>
        <v/>
      </c>
      <c r="H18" s="175">
        <f>IF(LEFT(A18,6)=B18,1,0)</f>
        <v/>
      </c>
    </row>
    <row r="19">
      <c r="A19" s="117" t="inlineStr">
        <is>
          <t>IT-021-TG</t>
        </is>
      </c>
      <c r="B19" s="118" t="inlineStr">
        <is>
          <t>IT-021</t>
        </is>
      </c>
      <c r="C19" s="118" t="inlineStr">
        <is>
          <t>טריגליצרידים</t>
        </is>
      </c>
      <c r="D19" s="118" t="inlineStr">
        <is>
          <t>mg/dL</t>
        </is>
      </c>
      <c r="E19" s="118" t="inlineStr">
        <is>
          <t>כן</t>
        </is>
      </c>
      <c r="F19" s="119" t="inlineStr">
        <is>
          <t>להציג טווח המעבדה</t>
        </is>
      </c>
      <c r="G19" s="133">
        <f>COUNTIF('תוצאות_מספריות'!$A$5:$A$36,A19)</f>
        <v/>
      </c>
      <c r="H19" s="175">
        <f>IF(LEFT(A19,6)=B19,1,0)</f>
        <v/>
      </c>
    </row>
    <row r="20">
      <c r="A20" s="117" t="inlineStr">
        <is>
          <t>IT-022-NA</t>
        </is>
      </c>
      <c r="B20" s="118" t="inlineStr">
        <is>
          <t>IT-022</t>
        </is>
      </c>
      <c r="C20" s="118" t="inlineStr">
        <is>
          <t>נתרן</t>
        </is>
      </c>
      <c r="D20" s="118" t="inlineStr">
        <is>
          <t>mmol/L</t>
        </is>
      </c>
      <c r="E20" s="118" t="inlineStr">
        <is>
          <t>כן</t>
        </is>
      </c>
      <c r="F20" s="119" t="inlineStr">
        <is>
          <t>טווח ייחוס של המעבדה</t>
        </is>
      </c>
      <c r="G20" s="133">
        <f>COUNTIF('תוצאות_מספריות'!$A$5:$A$36,A20)</f>
        <v/>
      </c>
      <c r="H20" s="175">
        <f>IF(LEFT(A20,6)=B20,1,0)</f>
        <v/>
      </c>
    </row>
    <row r="21">
      <c r="A21" s="117" t="inlineStr">
        <is>
          <t>IT-023-K</t>
        </is>
      </c>
      <c r="B21" s="118" t="inlineStr">
        <is>
          <t>IT-023</t>
        </is>
      </c>
      <c r="C21" s="118" t="inlineStr">
        <is>
          <t>אשלגן</t>
        </is>
      </c>
      <c r="D21" s="118" t="inlineStr">
        <is>
          <t>mmol/L</t>
        </is>
      </c>
      <c r="E21" s="118" t="inlineStr">
        <is>
          <t>כן</t>
        </is>
      </c>
      <c r="F21" s="119" t="inlineStr">
        <is>
          <t>טווח ייחוס של המעבדה</t>
        </is>
      </c>
      <c r="G21" s="133">
        <f>COUNTIF('תוצאות_מספריות'!$A$5:$A$36,A21)</f>
        <v/>
      </c>
      <c r="H21" s="175">
        <f>IF(LEFT(A21,6)=B21,1,0)</f>
        <v/>
      </c>
    </row>
    <row r="22">
      <c r="A22" s="117" t="inlineStr">
        <is>
          <t>IT-024-MG</t>
        </is>
      </c>
      <c r="B22" s="118" t="inlineStr">
        <is>
          <t>IT-024</t>
        </is>
      </c>
      <c r="C22" s="118" t="inlineStr">
        <is>
          <t>מגנזיום</t>
        </is>
      </c>
      <c r="D22" s="118" t="inlineStr">
        <is>
          <t>mg/dL</t>
        </is>
      </c>
      <c r="E22" s="118" t="inlineStr">
        <is>
          <t>כן</t>
        </is>
      </c>
      <c r="F22" s="119" t="inlineStr">
        <is>
          <t>טווח ייחוס של המעבדה</t>
        </is>
      </c>
      <c r="G22" s="133">
        <f>COUNTIF('תוצאות_מספריות'!$A$5:$A$36,A22)</f>
        <v/>
      </c>
      <c r="H22" s="175">
        <f>IF(LEFT(A22,6)=B22,1,0)</f>
        <v/>
      </c>
    </row>
    <row r="23">
      <c r="A23" s="117" t="inlineStr">
        <is>
          <t>IT-024-CA</t>
        </is>
      </c>
      <c r="B23" s="118" t="inlineStr">
        <is>
          <t>IT-024</t>
        </is>
      </c>
      <c r="C23" s="118" t="inlineStr">
        <is>
          <t>סידן</t>
        </is>
      </c>
      <c r="D23" s="118" t="inlineStr">
        <is>
          <t>mg/dL</t>
        </is>
      </c>
      <c r="E23" s="118" t="inlineStr">
        <is>
          <t>כן</t>
        </is>
      </c>
      <c r="F23" s="119" t="inlineStr">
        <is>
          <t>טווח ייחוס של המעבדה</t>
        </is>
      </c>
      <c r="G23" s="133">
        <f>COUNTIF('תוצאות_מספריות'!$A$5:$A$36,A23)</f>
        <v/>
      </c>
      <c r="H23" s="175">
        <f>IF(LEFT(A23,6)=B23,1,0)</f>
        <v/>
      </c>
    </row>
    <row r="24">
      <c r="A24" s="117" t="inlineStr">
        <is>
          <t>IT-025-TSH</t>
        </is>
      </c>
      <c r="B24" s="118" t="inlineStr">
        <is>
          <t>IT-025</t>
        </is>
      </c>
      <c r="C24" s="118" t="inlineStr">
        <is>
          <t>TSH</t>
        </is>
      </c>
      <c r="D24" s="118" t="inlineStr">
        <is>
          <t>mIU/L</t>
        </is>
      </c>
      <c r="E24" s="118" t="inlineStr">
        <is>
          <t>כן</t>
        </is>
      </c>
      <c r="F24" s="119" t="inlineStr">
        <is>
          <t>טווח ייחוס של המעבדה</t>
        </is>
      </c>
      <c r="G24" s="133">
        <f>COUNTIF('תוצאות_מספריות'!$A$5:$A$36,A24)</f>
        <v/>
      </c>
      <c r="H24" s="175">
        <f>IF(LEFT(A24,6)=B24,1,0)</f>
        <v/>
      </c>
    </row>
    <row r="25">
      <c r="A25" s="117" t="inlineStr">
        <is>
          <t>IT-025-FT4</t>
        </is>
      </c>
      <c r="B25" s="118" t="inlineStr">
        <is>
          <t>IT-025</t>
        </is>
      </c>
      <c r="C25" s="118" t="inlineStr">
        <is>
          <t>FT4</t>
        </is>
      </c>
      <c r="D25" s="118" t="inlineStr">
        <is>
          <t>ng/dL</t>
        </is>
      </c>
      <c r="E25" s="118" t="inlineStr">
        <is>
          <t>כן</t>
        </is>
      </c>
      <c r="F25" s="119" t="inlineStr">
        <is>
          <t>טווח ייחוס של המעבדה</t>
        </is>
      </c>
      <c r="G25" s="133">
        <f>COUNTIF('תוצאות_מספריות'!$A$5:$A$36,A25)</f>
        <v/>
      </c>
      <c r="H25" s="175">
        <f>IF(LEFT(A25,6)=B25,1,0)</f>
        <v/>
      </c>
    </row>
    <row r="26">
      <c r="A26" s="117" t="inlineStr">
        <is>
          <t>IT-026-AST</t>
        </is>
      </c>
      <c r="B26" s="118" t="inlineStr">
        <is>
          <t>IT-026</t>
        </is>
      </c>
      <c r="C26" s="118" t="inlineStr">
        <is>
          <t>AST</t>
        </is>
      </c>
      <c r="D26" s="118" t="inlineStr">
        <is>
          <t>U/L</t>
        </is>
      </c>
      <c r="E26" s="118" t="inlineStr">
        <is>
          <t>כן</t>
        </is>
      </c>
      <c r="F26" s="119" t="inlineStr">
        <is>
          <t>טווח ייחוס של המעבדה</t>
        </is>
      </c>
      <c r="G26" s="133">
        <f>COUNTIF('תוצאות_מספריות'!$A$5:$A$36,A26)</f>
        <v/>
      </c>
      <c r="H26" s="175">
        <f>IF(LEFT(A26,6)=B26,1,0)</f>
        <v/>
      </c>
    </row>
    <row r="27">
      <c r="A27" s="117" t="inlineStr">
        <is>
          <t>IT-026-ALT</t>
        </is>
      </c>
      <c r="B27" s="118" t="inlineStr">
        <is>
          <t>IT-026</t>
        </is>
      </c>
      <c r="C27" s="118" t="inlineStr">
        <is>
          <t>ALT</t>
        </is>
      </c>
      <c r="D27" s="118" t="inlineStr">
        <is>
          <t>U/L</t>
        </is>
      </c>
      <c r="E27" s="118" t="inlineStr">
        <is>
          <t>כן</t>
        </is>
      </c>
      <c r="F27" s="119" t="inlineStr">
        <is>
          <t>טווח ייחוס של המעבדה</t>
        </is>
      </c>
      <c r="G27" s="133">
        <f>COUNTIF('תוצאות_מספריות'!$A$5:$A$36,A27)</f>
        <v/>
      </c>
      <c r="H27" s="175">
        <f>IF(LEFT(A27,6)=B27,1,0)</f>
        <v/>
      </c>
    </row>
    <row r="28">
      <c r="A28" s="117" t="inlineStr">
        <is>
          <t>IT-026-ALB</t>
        </is>
      </c>
      <c r="B28" s="118" t="inlineStr">
        <is>
          <t>IT-026</t>
        </is>
      </c>
      <c r="C28" s="118" t="inlineStr">
        <is>
          <t>אלבומין</t>
        </is>
      </c>
      <c r="D28" s="118" t="inlineStr">
        <is>
          <t>g/dL</t>
        </is>
      </c>
      <c r="E28" s="118" t="inlineStr">
        <is>
          <t>כן</t>
        </is>
      </c>
      <c r="F28" s="119" t="inlineStr">
        <is>
          <t>טווח ייחוס של המעבדה</t>
        </is>
      </c>
      <c r="G28" s="133">
        <f>COUNTIF('תוצאות_מספריות'!$A$5:$A$36,A28)</f>
        <v/>
      </c>
      <c r="H28" s="175">
        <f>IF(LEFT(A28,6)=B28,1,0)</f>
        <v/>
      </c>
    </row>
    <row r="29">
      <c r="A29" s="117" t="inlineStr">
        <is>
          <t>IT-027-INR</t>
        </is>
      </c>
      <c r="B29" s="118" t="inlineStr">
        <is>
          <t>IT-027</t>
        </is>
      </c>
      <c r="C29" s="118" t="inlineStr">
        <is>
          <t>INR</t>
        </is>
      </c>
      <c r="D29" s="118" t="inlineStr">
        <is>
          <t>יחס</t>
        </is>
      </c>
      <c r="E29" s="118" t="inlineStr">
        <is>
          <t>כן</t>
        </is>
      </c>
      <c r="F29" s="119" t="inlineStr">
        <is>
          <t>לציין אם המטופל מקבל נוגד קרישה</t>
        </is>
      </c>
      <c r="G29" s="133">
        <f>COUNTIF('תוצאות_מספריות'!$A$5:$A$36,A29)</f>
        <v/>
      </c>
      <c r="H29" s="175">
        <f>IF(LEFT(A29,6)=B29,1,0)</f>
        <v/>
      </c>
    </row>
    <row r="30">
      <c r="A30" s="117" t="inlineStr">
        <is>
          <t>IT-028-TNI</t>
        </is>
      </c>
      <c r="B30" s="118" t="inlineStr">
        <is>
          <t>IT-028</t>
        </is>
      </c>
      <c r="C30" s="118" t="inlineStr">
        <is>
          <t>hs-Troponin I</t>
        </is>
      </c>
      <c r="D30" s="118" t="inlineStr">
        <is>
          <t>ng/L</t>
        </is>
      </c>
      <c r="E30" s="118" t="inlineStr">
        <is>
          <t>כן</t>
        </is>
      </c>
      <c r="F30" s="119" t="inlineStr">
        <is>
          <t>טווח ייחוס ספציפי למעבדה</t>
        </is>
      </c>
      <c r="G30" s="133">
        <f>COUNTIF('תוצאות_מספריות'!$A$5:$A$36,A30)</f>
        <v/>
      </c>
      <c r="H30" s="175">
        <f>IF(LEFT(A30,6)=B30,1,0)</f>
        <v/>
      </c>
    </row>
    <row r="31">
      <c r="A31" s="117" t="inlineStr">
        <is>
          <t>IT-029-CPK</t>
        </is>
      </c>
      <c r="B31" s="118" t="inlineStr">
        <is>
          <t>IT-029</t>
        </is>
      </c>
      <c r="C31" s="118" t="inlineStr">
        <is>
          <t>CPK</t>
        </is>
      </c>
      <c r="D31" s="118" t="inlineStr">
        <is>
          <t>U/L</t>
        </is>
      </c>
      <c r="E31" s="118" t="inlineStr">
        <is>
          <t>כן</t>
        </is>
      </c>
      <c r="F31" s="119" t="inlineStr">
        <is>
          <t>טווח ייחוס של המעבדה</t>
        </is>
      </c>
      <c r="G31" s="133">
        <f>COUNTIF('תוצאות_מספריות'!$A$5:$A$36,A31)</f>
        <v/>
      </c>
      <c r="H31" s="175">
        <f>IF(LEFT(A31,6)=B31,1,0)</f>
        <v/>
      </c>
    </row>
    <row r="32">
      <c r="A32" s="117" t="inlineStr">
        <is>
          <t>IT-029-CKMB</t>
        </is>
      </c>
      <c r="B32" s="118" t="inlineStr">
        <is>
          <t>IT-029</t>
        </is>
      </c>
      <c r="C32" s="118" t="inlineStr">
        <is>
          <t>CK-MB</t>
        </is>
      </c>
      <c r="D32" s="118" t="inlineStr">
        <is>
          <t>ng/mL</t>
        </is>
      </c>
      <c r="E32" s="118" t="inlineStr">
        <is>
          <t>כן</t>
        </is>
      </c>
      <c r="F32" s="119" t="inlineStr">
        <is>
          <t>טווח ייחוס של המעבדה</t>
        </is>
      </c>
      <c r="G32" s="133">
        <f>COUNTIF('תוצאות_מספריות'!$A$5:$A$36,A32)</f>
        <v/>
      </c>
      <c r="H32" s="175">
        <f>IF(LEFT(A32,6)=B32,1,0)</f>
        <v/>
      </c>
    </row>
    <row r="33">
      <c r="A33" s="117" t="inlineStr">
        <is>
          <t>IT-030-UREA</t>
        </is>
      </c>
      <c r="B33" s="118" t="inlineStr">
        <is>
          <t>IT-030</t>
        </is>
      </c>
      <c r="C33" s="118" t="inlineStr">
        <is>
          <t>אוריאה</t>
        </is>
      </c>
      <c r="D33" s="118" t="inlineStr">
        <is>
          <t>mg/dL</t>
        </is>
      </c>
      <c r="E33" s="118" t="inlineStr">
        <is>
          <t>כן</t>
        </is>
      </c>
      <c r="F33" s="119" t="inlineStr">
        <is>
          <t>טווח ייחוס של המעבדה</t>
        </is>
      </c>
      <c r="G33" s="133">
        <f>COUNTIF('תוצאות_מספריות'!$A$5:$A$36,A33)</f>
        <v/>
      </c>
      <c r="H33" s="175">
        <f>IF(LEFT(A33,6)=B33,1,0)</f>
        <v/>
      </c>
    </row>
    <row r="34">
      <c r="A34" s="117" t="inlineStr">
        <is>
          <t>IT-031-CREA</t>
        </is>
      </c>
      <c r="B34" s="118" t="inlineStr">
        <is>
          <t>IT-031</t>
        </is>
      </c>
      <c r="C34" s="118" t="inlineStr">
        <is>
          <t>קריאטינין</t>
        </is>
      </c>
      <c r="D34" s="118" t="inlineStr">
        <is>
          <t>mg/dL</t>
        </is>
      </c>
      <c r="E34" s="118" t="inlineStr">
        <is>
          <t>כן</t>
        </is>
      </c>
      <c r="F34" s="119" t="inlineStr">
        <is>
          <t>טווח ייחוס תלוי מעבדה</t>
        </is>
      </c>
      <c r="G34" s="133">
        <f>COUNTIF('תוצאות_מספריות'!$A$5:$A$36,A34)</f>
        <v/>
      </c>
      <c r="H34" s="175">
        <f>IF(LEFT(A34,6)=B34,1,0)</f>
        <v/>
      </c>
    </row>
    <row r="35">
      <c r="A35" s="117" t="inlineStr">
        <is>
          <t>IT-031-EGFR</t>
        </is>
      </c>
      <c r="B35" s="118" t="inlineStr">
        <is>
          <t>IT-031</t>
        </is>
      </c>
      <c r="C35" s="118" t="inlineStr">
        <is>
          <t>eGFR</t>
        </is>
      </c>
      <c r="D35" s="118" t="inlineStr">
        <is>
          <t>mL/min/1.73m²</t>
        </is>
      </c>
      <c r="E35" s="118" t="inlineStr">
        <is>
          <t>כן</t>
        </is>
      </c>
      <c r="F35" s="119" t="inlineStr">
        <is>
          <t>להציג את סף המעבדה</t>
        </is>
      </c>
      <c r="G35" s="133">
        <f>COUNTIF('תוצאות_מספריות'!$A$5:$A$36,A35)</f>
        <v/>
      </c>
      <c r="H35" s="175">
        <f>IF(LEFT(A35,6)=B35,1,0)</f>
        <v/>
      </c>
    </row>
    <row r="36">
      <c r="A36" s="120" t="inlineStr">
        <is>
          <t>IT-032-BNP</t>
        </is>
      </c>
      <c r="B36" s="121" t="inlineStr">
        <is>
          <t>IT-032</t>
        </is>
      </c>
      <c r="C36" s="121" t="inlineStr">
        <is>
          <t>BNP</t>
        </is>
      </c>
      <c r="D36" s="121" t="inlineStr">
        <is>
          <t>pg/mL</t>
        </is>
      </c>
      <c r="E36" s="121" t="inlineStr">
        <is>
          <t>כן</t>
        </is>
      </c>
      <c r="F36" s="122" t="inlineStr">
        <is>
          <t>טווח ייחוס של המעבדה</t>
        </is>
      </c>
      <c r="G36" s="134">
        <f>COUNTIF('תוצאות_מספריות'!$A$5:$A$36,A36)</f>
        <v/>
      </c>
      <c r="H36" s="175">
        <f>IF(LEFT(A36,6)=B36,1,0)</f>
        <v/>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2026-10-17T18:03:39Z</dcterms:created>
  <dcterms:modified xsi:type="dcterms:W3CDTF">2026-10-17T18:03:40Z</dcterms:modified>
</cp:coreProperties>
</file>